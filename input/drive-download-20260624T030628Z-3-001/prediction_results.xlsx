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lafronz/Desktop/data annotation/pecan/drive-download-20260624T030628Z-3-001/"/>
    </mc:Choice>
  </mc:AlternateContent>
  <xr:revisionPtr revIDLastSave="0" documentId="13_ncr:1_{FA543FFE-2104-4140-BB57-813142AD19D2}" xr6:coauthVersionLast="47" xr6:coauthVersionMax="47" xr10:uidLastSave="{00000000-0000-0000-0000-000000000000}"/>
  <bookViews>
    <workbookView xWindow="0" yWindow="740" windowWidth="29400" windowHeight="17240" activeTab="1" xr2:uid="{858250D3-16E8-224A-903F-74B5E1D632D7}"/>
  </bookViews>
  <sheets>
    <sheet name="prediction_results" sheetId="1" r:id="rId1"/>
    <sheet name="2025" sheetId="3" r:id="rId2"/>
    <sheet name="2026 pc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7" i="1" l="1"/>
  <c r="V88" i="1"/>
  <c r="W87" i="1"/>
  <c r="W88" i="1"/>
  <c r="S83" i="1" l="1"/>
  <c r="S82" i="1"/>
  <c r="S81" i="1"/>
  <c r="S80" i="1"/>
  <c r="S79" i="1"/>
  <c r="S78" i="1"/>
  <c r="S77" i="1"/>
  <c r="I64" i="1" l="1"/>
  <c r="I62" i="1"/>
  <c r="I63" i="1"/>
  <c r="T40" i="1"/>
  <c r="V40" i="1" s="1"/>
  <c r="T39" i="1"/>
  <c r="V39" i="1" s="1"/>
  <c r="I61" i="1"/>
  <c r="I60" i="1"/>
  <c r="T38" i="1"/>
  <c r="V38" i="1" s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S47" i="1"/>
  <c r="T37" i="1"/>
  <c r="V37" i="1" s="1"/>
  <c r="T36" i="1"/>
  <c r="V36" i="1" s="1"/>
  <c r="T35" i="1"/>
  <c r="V35" i="1" s="1"/>
  <c r="S40" i="1"/>
  <c r="S39" i="1"/>
  <c r="S38" i="1"/>
  <c r="S37" i="1"/>
  <c r="S36" i="1"/>
  <c r="S35" i="1"/>
  <c r="V41" i="1" l="1"/>
  <c r="S41" i="1"/>
  <c r="T41" i="1"/>
</calcChain>
</file>

<file path=xl/sharedStrings.xml><?xml version="1.0" encoding="utf-8"?>
<sst xmlns="http://schemas.openxmlformats.org/spreadsheetml/2006/main" count="802" uniqueCount="219">
  <si>
    <t>Round</t>
  </si>
  <si>
    <t>Date</t>
  </si>
  <si>
    <t>team1_win_pred</t>
  </si>
  <si>
    <t>team1</t>
  </si>
  <si>
    <t>team2</t>
  </si>
  <si>
    <t>Howard</t>
  </si>
  <si>
    <t>Texas</t>
  </si>
  <si>
    <t>team1_win</t>
  </si>
  <si>
    <t>Prairie View A&amp;M</t>
  </si>
  <si>
    <t>Miami (OH)</t>
  </si>
  <si>
    <t>team1_seed</t>
  </si>
  <si>
    <t>team2_seed</t>
  </si>
  <si>
    <t>Upset</t>
  </si>
  <si>
    <t>Round of 64</t>
  </si>
  <si>
    <t>Idaho</t>
  </si>
  <si>
    <t>Houston</t>
  </si>
  <si>
    <t>Gonzaga</t>
  </si>
  <si>
    <t>Kennesaw State</t>
  </si>
  <si>
    <t>Ohio State</t>
  </si>
  <si>
    <t>TCU</t>
  </si>
  <si>
    <t>Nebraska</t>
  </si>
  <si>
    <t>Troy</t>
  </si>
  <si>
    <t>Louisville</t>
  </si>
  <si>
    <t>South Florida</t>
  </si>
  <si>
    <t>Wisconsin</t>
  </si>
  <si>
    <t>High Point</t>
  </si>
  <si>
    <t>Duke</t>
  </si>
  <si>
    <t>Siena</t>
  </si>
  <si>
    <t>McNeese</t>
  </si>
  <si>
    <t>Vanderbilt</t>
  </si>
  <si>
    <t>Michigan State</t>
  </si>
  <si>
    <t>North Dakota State</t>
  </si>
  <si>
    <t>Arkansas</t>
  </si>
  <si>
    <t>Hawaii</t>
  </si>
  <si>
    <t>UNC</t>
  </si>
  <si>
    <t>VCU</t>
  </si>
  <si>
    <t>Michigan</t>
  </si>
  <si>
    <t>BYU</t>
  </si>
  <si>
    <t>Saint Mary's</t>
  </si>
  <si>
    <t>Texas A&amp;M</t>
  </si>
  <si>
    <t>Penn</t>
  </si>
  <si>
    <t>Illinois</t>
  </si>
  <si>
    <t>Georgia</t>
  </si>
  <si>
    <t>Saint Louis</t>
  </si>
  <si>
    <t>Kentucky</t>
  </si>
  <si>
    <t>Santa Clara</t>
  </si>
  <si>
    <t>Texas Tech</t>
  </si>
  <si>
    <t>Akron</t>
  </si>
  <si>
    <t>Arizona</t>
  </si>
  <si>
    <t>LIU</t>
  </si>
  <si>
    <t>Virginia</t>
  </si>
  <si>
    <t>Wright State</t>
  </si>
  <si>
    <t>Iowa State</t>
  </si>
  <si>
    <t>Tennessee State</t>
  </si>
  <si>
    <t>Alabama</t>
  </si>
  <si>
    <t>Hofstra</t>
  </si>
  <si>
    <t>Villanova</t>
  </si>
  <si>
    <t>Utah State</t>
  </si>
  <si>
    <t>Tennessee</t>
  </si>
  <si>
    <t>Clemson</t>
  </si>
  <si>
    <t>Iowa</t>
  </si>
  <si>
    <t>Northern Iowa</t>
  </si>
  <si>
    <t>Pick</t>
  </si>
  <si>
    <t>bce_loss</t>
  </si>
  <si>
    <t>UCLA</t>
  </si>
  <si>
    <t>UCF</t>
  </si>
  <si>
    <t>Purdue</t>
  </si>
  <si>
    <t>Queens (NC)</t>
  </si>
  <si>
    <t>Florida</t>
  </si>
  <si>
    <t>Kansas</t>
  </si>
  <si>
    <t>California Baptist</t>
  </si>
  <si>
    <t>Furman</t>
  </si>
  <si>
    <t>Miami (FL)</t>
  </si>
  <si>
    <t>Missouri</t>
  </si>
  <si>
    <t>UConn</t>
  </si>
  <si>
    <t>St. John's (NY)</t>
  </si>
  <si>
    <t>Correct</t>
  </si>
  <si>
    <t>Points</t>
  </si>
  <si>
    <t>Round of 32</t>
  </si>
  <si>
    <t>points</t>
  </si>
  <si>
    <t>round</t>
  </si>
  <si>
    <t>games</t>
  </si>
  <si>
    <t>Round of 16</t>
  </si>
  <si>
    <t>max</t>
  </si>
  <si>
    <t>earned</t>
  </si>
  <si>
    <t>Biggest Mistakes</t>
  </si>
  <si>
    <t>team</t>
  </si>
  <si>
    <t>pred_round</t>
  </si>
  <si>
    <t>act_round</t>
  </si>
  <si>
    <t xml:space="preserve">Houston </t>
  </si>
  <si>
    <t>Quarterfinal</t>
  </si>
  <si>
    <t>points_lost</t>
  </si>
  <si>
    <t>max possible</t>
  </si>
  <si>
    <t>entering</t>
  </si>
  <si>
    <t>round (after)</t>
  </si>
  <si>
    <t>-30 for Wisc, UCF, USF</t>
  </si>
  <si>
    <t>-40 for Gonzaga, Florida, -60 for Vandy</t>
  </si>
  <si>
    <t>on_path</t>
  </si>
  <si>
    <t>-280 for Houston, Iowa accounted for, -80 for MSU, ISU</t>
  </si>
  <si>
    <t>Semifinal</t>
  </si>
  <si>
    <t>Final</t>
  </si>
  <si>
    <t>-80 for Duke</t>
  </si>
  <si>
    <t>espn_pct</t>
  </si>
  <si>
    <t>-</t>
  </si>
  <si>
    <t>rank</t>
  </si>
  <si>
    <t>511k</t>
  </si>
  <si>
    <t>CBS</t>
  </si>
  <si>
    <t>pts (out of 32)</t>
  </si>
  <si>
    <t>rank (out of 75)</t>
  </si>
  <si>
    <t>cat</t>
  </si>
  <si>
    <t>total</t>
  </si>
  <si>
    <t>pts</t>
  </si>
  <si>
    <t>cpk</t>
  </si>
  <si>
    <t>t-1st</t>
  </si>
  <si>
    <t>t-7th</t>
  </si>
  <si>
    <t>t-24th</t>
  </si>
  <si>
    <t>1st</t>
  </si>
  <si>
    <t>overall</t>
  </si>
  <si>
    <t>2nd</t>
  </si>
  <si>
    <t>correct picks</t>
  </si>
  <si>
    <t>pct</t>
  </si>
  <si>
    <t>Matchups</t>
  </si>
  <si>
    <t>Sweet 16</t>
  </si>
  <si>
    <t>Elite 8</t>
  </si>
  <si>
    <t>Final Four</t>
  </si>
  <si>
    <t>Title Game</t>
  </si>
  <si>
    <t>Points per</t>
  </si>
  <si>
    <t>Year</t>
  </si>
  <si>
    <t>Percentile</t>
  </si>
  <si>
    <t>Yes</t>
  </si>
  <si>
    <t>Correct Champion?</t>
  </si>
  <si>
    <t>No</t>
  </si>
  <si>
    <t>CBS 25</t>
  </si>
  <si>
    <t>rank (out of 77)</t>
  </si>
  <si>
    <t>Rank</t>
  </si>
  <si>
    <t>64th</t>
  </si>
  <si>
    <t>Correct Picks</t>
  </si>
  <si>
    <t>50th</t>
  </si>
  <si>
    <t>Money Won?</t>
  </si>
  <si>
    <t>💰</t>
  </si>
  <si>
    <t>(5) Wisconsin</t>
  </si>
  <si>
    <t>(12) High Point</t>
  </si>
  <si>
    <t>(1) Duke</t>
  </si>
  <si>
    <t>(2) UConn</t>
  </si>
  <si>
    <t>(6) UNC</t>
  </si>
  <si>
    <t>(11) VCU</t>
  </si>
  <si>
    <t>(1) Florida</t>
  </si>
  <si>
    <t>(9) Iowa</t>
  </si>
  <si>
    <t>(3) Gonzaga</t>
  </si>
  <si>
    <t>(11) Texas</t>
  </si>
  <si>
    <t>(6) BYU</t>
  </si>
  <si>
    <t>(4) Nebraska</t>
  </si>
  <si>
    <t>(2) Iowa State</t>
  </si>
  <si>
    <t>(6) Tennessee</t>
  </si>
  <si>
    <t>(3) Illinois</t>
  </si>
  <si>
    <t>(8) Ohio State</t>
  </si>
  <si>
    <t>(9) TCU</t>
  </si>
  <si>
    <t>Team 2</t>
  </si>
  <si>
    <t>Team 1</t>
  </si>
  <si>
    <t>Team 1 Win Prob</t>
  </si>
  <si>
    <t>BCE Loss</t>
  </si>
  <si>
    <t>Matchup</t>
  </si>
  <si>
    <t>5-vs-12</t>
  </si>
  <si>
    <t>6-vs-11</t>
  </si>
  <si>
    <t>7-vs-10</t>
  </si>
  <si>
    <t>8-vs-9</t>
  </si>
  <si>
    <t>Higher Seed Wins…</t>
  </si>
  <si>
    <t>2026 Accuracy</t>
  </si>
  <si>
    <t>3/4</t>
  </si>
  <si>
    <t>4/4</t>
  </si>
  <si>
    <t>seed1</t>
  </si>
  <si>
    <t>wins1</t>
  </si>
  <si>
    <t>pred1</t>
  </si>
  <si>
    <t>seed2</t>
  </si>
  <si>
    <t>pred_winner</t>
  </si>
  <si>
    <t>Mount St. Mary's</t>
  </si>
  <si>
    <t>Mississippi State</t>
  </si>
  <si>
    <t>Baylor</t>
  </si>
  <si>
    <t>Oregon</t>
  </si>
  <si>
    <t>Liberty</t>
  </si>
  <si>
    <t>Montana</t>
  </si>
  <si>
    <t>Robert Morris</t>
  </si>
  <si>
    <t>SIU-Edwardsville</t>
  </si>
  <si>
    <t>McNeese State</t>
  </si>
  <si>
    <t>Xavier</t>
  </si>
  <si>
    <t>Wofford</t>
  </si>
  <si>
    <t>Auburn</t>
  </si>
  <si>
    <t>Alabama State</t>
  </si>
  <si>
    <t>Creighton</t>
  </si>
  <si>
    <t>UC-San Diego</t>
  </si>
  <si>
    <t>Yale</t>
  </si>
  <si>
    <t>Ole Miss</t>
  </si>
  <si>
    <t>Lipscomb</t>
  </si>
  <si>
    <t>Marquette</t>
  </si>
  <si>
    <t>New Mexico</t>
  </si>
  <si>
    <t>Bryant</t>
  </si>
  <si>
    <t>Norfolk State</t>
  </si>
  <si>
    <t>Oklahoma</t>
  </si>
  <si>
    <t>Memphis</t>
  </si>
  <si>
    <t>Colorado State</t>
  </si>
  <si>
    <t>Maryland</t>
  </si>
  <si>
    <t>Grand Canyon</t>
  </si>
  <si>
    <t>Drake</t>
  </si>
  <si>
    <t>UNC Wilmington</t>
  </si>
  <si>
    <t>Omaha</t>
  </si>
  <si>
    <t>Revisiting 2025</t>
  </si>
  <si>
    <t>2025 Model</t>
  </si>
  <si>
    <t>2026 Model</t>
  </si>
  <si>
    <t>wins</t>
  </si>
  <si>
    <t>w/ PCA</t>
  </si>
  <si>
    <t>w/o PCA</t>
  </si>
  <si>
    <t>Accuracy</t>
  </si>
  <si>
    <t>TPR</t>
  </si>
  <si>
    <t>FPR</t>
  </si>
  <si>
    <t>Precision</t>
  </si>
  <si>
    <t>ROC</t>
  </si>
  <si>
    <t>Test Set</t>
  </si>
  <si>
    <t>2026 Bracket</t>
  </si>
  <si>
    <t>ESPN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</si>
</sst>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FFCB05"/>
      <name val="Aptos Narrow"/>
      <family val="2"/>
      <scheme val="minor"/>
    </font>
    <font>
      <b/>
      <sz val="12"/>
      <color rgb="FF000000"/>
      <name val="Lucida Sans"/>
      <family val="2"/>
    </font>
    <font>
      <sz val="11"/>
      <color rgb="FF000000"/>
      <name val="Lucida Sans"/>
      <family val="2"/>
    </font>
    <font>
      <sz val="9"/>
      <color rgb="FF000000"/>
      <name val="Lucida Sans"/>
      <family val="2"/>
    </font>
    <font>
      <b/>
      <sz val="14"/>
      <color theme="1"/>
      <name val="Aptos Narrow"/>
      <scheme val="minor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74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1A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164" fontId="3" fillId="0" borderId="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quotePrefix="1" applyAlignment="1">
      <alignment horizontal="left"/>
    </xf>
    <xf numFmtId="14" fontId="2" fillId="0" borderId="2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quotePrefix="1" applyAlignment="1">
      <alignment horizontal="center"/>
    </xf>
    <xf numFmtId="14" fontId="0" fillId="0" borderId="13" xfId="0" applyNumberForma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165" fontId="0" fillId="3" borderId="12" xfId="1" applyNumberFormat="1" applyFont="1" applyFill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0" fillId="3" borderId="12" xfId="1" applyNumberFormat="1" applyFont="1" applyFill="1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0" fontId="1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21A5"/>
      <color rgb="FFFA4616"/>
      <color rgb="FFFFCB05"/>
      <color rgb="FF00274C"/>
      <color rgb="FF004A8F"/>
      <color rgb="FF3B53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prediction_results!$U$87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7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CF-DA49-B456-5CC5BBA78791}"/>
              </c:ext>
            </c:extLst>
          </c:dPt>
          <c:dPt>
            <c:idx val="1"/>
            <c:invertIfNegative val="0"/>
            <c:bubble3D val="0"/>
            <c:spPr>
              <a:solidFill>
                <a:srgbClr val="0027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CF-DA49-B456-5CC5BBA78791}"/>
              </c:ext>
            </c:extLst>
          </c:dPt>
          <c:cat>
            <c:numRef>
              <c:f>prediction_results!$V$86:$W$86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prediction_results!$V$87:$W$87</c:f>
              <c:numCache>
                <c:formatCode>General</c:formatCode>
                <c:ptCount val="2"/>
                <c:pt idx="0">
                  <c:v>0.18181818181818177</c:v>
                </c:pt>
                <c:pt idx="1">
                  <c:v>0.98666666666666669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F-DA49-B456-5CC5BBA78791}"/>
            </c:ext>
          </c:extLst>
        </c:ser>
        <c:ser>
          <c:idx val="1"/>
          <c:order val="1"/>
          <c:tx>
            <c:strRef>
              <c:f>prediction_results!$U$88</c:f>
              <c:strCache>
                <c:ptCount val="1"/>
                <c:pt idx="0">
                  <c:v>Correct Picks</c:v>
                </c:pt>
              </c:strCache>
            </c:strRef>
          </c:tx>
          <c:spPr>
            <a:solidFill>
              <a:srgbClr val="FFCB05"/>
            </a:solidFill>
            <a:ln>
              <a:noFill/>
            </a:ln>
            <a:effectLst/>
          </c:spPr>
          <c:invertIfNegative val="0"/>
          <c:cat>
            <c:numRef>
              <c:f>prediction_results!$V$86:$W$86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prediction_results!$V$88:$W$88</c:f>
              <c:numCache>
                <c:formatCode>General</c:formatCode>
                <c:ptCount val="2"/>
                <c:pt idx="0">
                  <c:v>0.36363636363636365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F-DA49-B456-5CC5BBA78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845712"/>
        <c:axId val="270795104"/>
      </c:barChart>
      <c:catAx>
        <c:axId val="27084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95104"/>
        <c:crosses val="autoZero"/>
        <c:auto val="1"/>
        <c:lblAlgn val="ctr"/>
        <c:lblOffset val="100"/>
        <c:noMultiLvlLbl val="0"/>
      </c:catAx>
      <c:valAx>
        <c:axId val="270795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457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762832</xdr:colOff>
      <xdr:row>16</xdr:row>
      <xdr:rowOff>101600</xdr:rowOff>
    </xdr:from>
    <xdr:to>
      <xdr:col>20</xdr:col>
      <xdr:colOff>380999</xdr:colOff>
      <xdr:row>29</xdr:row>
      <xdr:rowOff>166802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3A6684-B669-A93A-386E-70FB382A4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2332" y="4165600"/>
          <a:ext cx="4799767" cy="2706802"/>
        </a:xfrm>
        <a:prstGeom prst="rect">
          <a:avLst/>
        </a:prstGeom>
      </xdr:spPr>
    </xdr:pic>
    <xdr:clientData/>
  </xdr:twoCellAnchor>
  <xdr:twoCellAnchor>
    <xdr:from>
      <xdr:col>24</xdr:col>
      <xdr:colOff>57150</xdr:colOff>
      <xdr:row>75</xdr:row>
      <xdr:rowOff>114300</xdr:rowOff>
    </xdr:from>
    <xdr:to>
      <xdr:col>28</xdr:col>
      <xdr:colOff>317500</xdr:colOff>
      <xdr:row>92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90558E-4C48-701C-68CF-D6E934EB6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62C3-03FF-B943-81B4-45273CC6A423}">
  <dimension ref="A1:AC126"/>
  <sheetViews>
    <sheetView topLeftCell="H92" zoomScaleNormal="100" workbookViewId="0">
      <selection activeCell="O108" sqref="O108"/>
    </sheetView>
  </sheetViews>
  <sheetFormatPr baseColWidth="10" defaultRowHeight="16"/>
  <cols>
    <col min="1" max="1" width="10.83203125" style="1"/>
    <col min="2" max="2" width="12.1640625" style="1" customWidth="1"/>
    <col min="3" max="3" width="12" style="1" customWidth="1"/>
    <col min="4" max="4" width="16" style="1" customWidth="1"/>
    <col min="5" max="5" width="12" style="1" customWidth="1"/>
    <col min="6" max="6" width="17.1640625" style="1" customWidth="1"/>
    <col min="7" max="7" width="15.83203125" style="1" customWidth="1"/>
    <col min="8" max="11" width="10.83203125" style="1"/>
    <col min="12" max="12" width="14" style="1" customWidth="1"/>
    <col min="13" max="16" width="10.83203125" style="1"/>
    <col min="17" max="17" width="12" style="1" customWidth="1"/>
    <col min="18" max="18" width="15.6640625" style="1" customWidth="1"/>
    <col min="19" max="19" width="10" style="1" customWidth="1"/>
    <col min="20" max="20" width="8.6640625" style="1" customWidth="1"/>
    <col min="21" max="21" width="10.1640625" style="1" customWidth="1"/>
    <col min="22" max="22" width="8" style="1" customWidth="1"/>
    <col min="23" max="23" width="10.83203125" style="1"/>
    <col min="24" max="24" width="17.83203125" style="1" customWidth="1"/>
    <col min="25" max="25" width="10.83203125" style="1"/>
    <col min="26" max="26" width="18" style="1" customWidth="1"/>
    <col min="27" max="27" width="13.5" style="1" customWidth="1"/>
    <col min="28" max="16384" width="10.83203125" style="1"/>
  </cols>
  <sheetData>
    <row r="1" spans="1:15">
      <c r="A1" s="2" t="s">
        <v>1</v>
      </c>
      <c r="B1" s="2" t="s">
        <v>0</v>
      </c>
      <c r="C1" s="11" t="s">
        <v>10</v>
      </c>
      <c r="D1" s="12" t="s">
        <v>3</v>
      </c>
      <c r="E1" s="11" t="s">
        <v>11</v>
      </c>
      <c r="F1" s="12" t="s">
        <v>4</v>
      </c>
      <c r="G1" s="2" t="s">
        <v>2</v>
      </c>
      <c r="H1" s="2" t="s">
        <v>7</v>
      </c>
      <c r="I1" s="2" t="s">
        <v>63</v>
      </c>
      <c r="J1" s="2" t="s">
        <v>97</v>
      </c>
      <c r="K1" s="11" t="s">
        <v>12</v>
      </c>
      <c r="L1" s="17" t="s">
        <v>62</v>
      </c>
      <c r="M1" s="12" t="s">
        <v>76</v>
      </c>
      <c r="N1" s="20" t="s">
        <v>77</v>
      </c>
      <c r="O1" s="2"/>
    </row>
    <row r="2" spans="1:15">
      <c r="A2" s="39">
        <v>46100</v>
      </c>
      <c r="B2" s="17" t="s">
        <v>13</v>
      </c>
      <c r="C2" s="11">
        <v>8</v>
      </c>
      <c r="D2" s="12" t="s">
        <v>18</v>
      </c>
      <c r="E2" s="11">
        <v>9</v>
      </c>
      <c r="F2" s="12" t="s">
        <v>19</v>
      </c>
      <c r="G2" s="40">
        <v>0.57747800000000005</v>
      </c>
      <c r="H2" s="41">
        <v>0</v>
      </c>
      <c r="I2" s="40">
        <f>ABS(H2*LN(G2) + (1-H2)*LN(1-G2))</f>
        <v>0.86151376253463918</v>
      </c>
      <c r="J2" s="12">
        <v>1</v>
      </c>
      <c r="K2" s="41">
        <v>1</v>
      </c>
      <c r="L2" s="41" t="s">
        <v>19</v>
      </c>
      <c r="M2" s="12">
        <v>1</v>
      </c>
      <c r="N2" s="42">
        <v>10</v>
      </c>
      <c r="O2" s="2"/>
    </row>
    <row r="3" spans="1:15">
      <c r="A3" s="43">
        <v>46100</v>
      </c>
      <c r="B3" s="2" t="s">
        <v>13</v>
      </c>
      <c r="C3" s="13">
        <v>4</v>
      </c>
      <c r="D3" s="14" t="s">
        <v>20</v>
      </c>
      <c r="E3" s="13">
        <v>13</v>
      </c>
      <c r="F3" s="14" t="s">
        <v>21</v>
      </c>
      <c r="G3" s="4">
        <v>0.89074160000000002</v>
      </c>
      <c r="H3" s="3">
        <v>1</v>
      </c>
      <c r="I3" s="4">
        <f t="shared" ref="I3:I64" si="0">ABS(H3*LN(G3) + (1-H3)*LN(1-G3))</f>
        <v>0.11570090479605949</v>
      </c>
      <c r="J3" s="49">
        <v>1</v>
      </c>
      <c r="K3" s="3">
        <v>0</v>
      </c>
      <c r="L3" s="3" t="s">
        <v>20</v>
      </c>
      <c r="M3" s="14">
        <v>1</v>
      </c>
      <c r="N3" s="20">
        <v>10</v>
      </c>
      <c r="O3" s="2"/>
    </row>
    <row r="4" spans="1:15">
      <c r="A4" s="43">
        <v>46100</v>
      </c>
      <c r="B4" s="2" t="s">
        <v>13</v>
      </c>
      <c r="C4" s="13">
        <v>6</v>
      </c>
      <c r="D4" s="14" t="s">
        <v>22</v>
      </c>
      <c r="E4" s="13">
        <v>11</v>
      </c>
      <c r="F4" s="14" t="s">
        <v>23</v>
      </c>
      <c r="G4" s="4">
        <v>0.64102519999999996</v>
      </c>
      <c r="H4" s="3">
        <v>1</v>
      </c>
      <c r="I4" s="4">
        <f t="shared" si="0"/>
        <v>0.44468650926168241</v>
      </c>
      <c r="J4" s="49">
        <v>1</v>
      </c>
      <c r="K4" s="3">
        <v>0</v>
      </c>
      <c r="L4" s="3" t="s">
        <v>23</v>
      </c>
      <c r="M4" s="14">
        <v>0</v>
      </c>
      <c r="N4" s="20">
        <v>0</v>
      </c>
      <c r="O4" s="2"/>
    </row>
    <row r="5" spans="1:15">
      <c r="A5" s="43">
        <v>46100</v>
      </c>
      <c r="B5" s="2" t="s">
        <v>13</v>
      </c>
      <c r="C5" s="13">
        <v>5</v>
      </c>
      <c r="D5" s="14" t="s">
        <v>24</v>
      </c>
      <c r="E5" s="13">
        <v>12</v>
      </c>
      <c r="F5" s="14" t="s">
        <v>25</v>
      </c>
      <c r="G5" s="4">
        <v>0.85769740000000005</v>
      </c>
      <c r="H5" s="3">
        <v>0</v>
      </c>
      <c r="I5" s="4">
        <f t="shared" si="0"/>
        <v>1.9497995027953423</v>
      </c>
      <c r="J5" s="49">
        <v>1</v>
      </c>
      <c r="K5" s="3">
        <v>1</v>
      </c>
      <c r="L5" s="3" t="s">
        <v>24</v>
      </c>
      <c r="M5" s="14">
        <v>0</v>
      </c>
      <c r="N5" s="20">
        <v>0</v>
      </c>
      <c r="O5" s="2"/>
    </row>
    <row r="6" spans="1:15">
      <c r="A6" s="43">
        <v>46100</v>
      </c>
      <c r="B6" s="2" t="s">
        <v>13</v>
      </c>
      <c r="C6" s="13">
        <v>1</v>
      </c>
      <c r="D6" s="14" t="s">
        <v>26</v>
      </c>
      <c r="E6" s="13">
        <v>16</v>
      </c>
      <c r="F6" s="14" t="s">
        <v>27</v>
      </c>
      <c r="G6" s="4">
        <v>0.94365690000000002</v>
      </c>
      <c r="H6" s="3">
        <v>1</v>
      </c>
      <c r="I6" s="4">
        <f t="shared" si="0"/>
        <v>5.7992632291658373E-2</v>
      </c>
      <c r="J6" s="49">
        <v>1</v>
      </c>
      <c r="K6" s="3">
        <v>0</v>
      </c>
      <c r="L6" s="3" t="s">
        <v>26</v>
      </c>
      <c r="M6" s="14">
        <v>1</v>
      </c>
      <c r="N6" s="20">
        <v>10</v>
      </c>
      <c r="O6" s="2"/>
    </row>
    <row r="7" spans="1:15">
      <c r="A7" s="43">
        <v>46100</v>
      </c>
      <c r="B7" s="2" t="s">
        <v>13</v>
      </c>
      <c r="C7" s="13">
        <v>5</v>
      </c>
      <c r="D7" s="14" t="s">
        <v>29</v>
      </c>
      <c r="E7" s="13">
        <v>12</v>
      </c>
      <c r="F7" s="14" t="s">
        <v>28</v>
      </c>
      <c r="G7" s="4">
        <v>0.90877929999999996</v>
      </c>
      <c r="H7" s="3">
        <v>1</v>
      </c>
      <c r="I7" s="4">
        <f t="shared" si="0"/>
        <v>9.5653008563388972E-2</v>
      </c>
      <c r="J7" s="49">
        <v>1</v>
      </c>
      <c r="K7" s="3">
        <v>0</v>
      </c>
      <c r="L7" s="3" t="s">
        <v>29</v>
      </c>
      <c r="M7" s="14">
        <v>1</v>
      </c>
      <c r="N7" s="20">
        <v>10</v>
      </c>
      <c r="O7" s="2"/>
    </row>
    <row r="8" spans="1:15">
      <c r="A8" s="43">
        <v>46100</v>
      </c>
      <c r="B8" s="2" t="s">
        <v>13</v>
      </c>
      <c r="C8" s="13">
        <v>3</v>
      </c>
      <c r="D8" s="14" t="s">
        <v>30</v>
      </c>
      <c r="E8" s="13">
        <v>14</v>
      </c>
      <c r="F8" s="14" t="s">
        <v>31</v>
      </c>
      <c r="G8" s="4">
        <v>0.76752920000000002</v>
      </c>
      <c r="H8" s="3">
        <v>1</v>
      </c>
      <c r="I8" s="4">
        <f t="shared" si="0"/>
        <v>0.26457875464189451</v>
      </c>
      <c r="J8" s="49">
        <v>1</v>
      </c>
      <c r="K8" s="3">
        <v>0</v>
      </c>
      <c r="L8" s="3" t="s">
        <v>30</v>
      </c>
      <c r="M8" s="14">
        <v>1</v>
      </c>
      <c r="N8" s="20">
        <v>10</v>
      </c>
      <c r="O8" s="2"/>
    </row>
    <row r="9" spans="1:15">
      <c r="A9" s="43">
        <v>46100</v>
      </c>
      <c r="B9" s="2" t="s">
        <v>13</v>
      </c>
      <c r="C9" s="13">
        <v>4</v>
      </c>
      <c r="D9" s="14" t="s">
        <v>32</v>
      </c>
      <c r="E9" s="13">
        <v>13</v>
      </c>
      <c r="F9" s="14" t="s">
        <v>33</v>
      </c>
      <c r="G9" s="4">
        <v>0.67177659999999995</v>
      </c>
      <c r="H9" s="3">
        <v>1</v>
      </c>
      <c r="I9" s="4">
        <f t="shared" si="0"/>
        <v>0.39782943420576294</v>
      </c>
      <c r="J9" s="49">
        <v>1</v>
      </c>
      <c r="K9" s="3">
        <v>0</v>
      </c>
      <c r="L9" s="3" t="s">
        <v>32</v>
      </c>
      <c r="M9" s="14">
        <v>1</v>
      </c>
      <c r="N9" s="20">
        <v>10</v>
      </c>
      <c r="O9" s="2"/>
    </row>
    <row r="10" spans="1:15">
      <c r="A10" s="43">
        <v>46100</v>
      </c>
      <c r="B10" s="2" t="s">
        <v>13</v>
      </c>
      <c r="C10" s="13">
        <v>6</v>
      </c>
      <c r="D10" s="14" t="s">
        <v>34</v>
      </c>
      <c r="E10" s="13">
        <v>11</v>
      </c>
      <c r="F10" s="14" t="s">
        <v>35</v>
      </c>
      <c r="G10" s="4">
        <v>0.7275161</v>
      </c>
      <c r="H10" s="3">
        <v>0</v>
      </c>
      <c r="I10" s="4">
        <f t="shared" si="0"/>
        <v>1.3001757491930894</v>
      </c>
      <c r="J10" s="49">
        <v>1</v>
      </c>
      <c r="K10" s="3">
        <v>1</v>
      </c>
      <c r="L10" s="3" t="s">
        <v>35</v>
      </c>
      <c r="M10" s="14">
        <v>1</v>
      </c>
      <c r="N10" s="20">
        <v>10</v>
      </c>
      <c r="O10" s="2"/>
    </row>
    <row r="11" spans="1:15">
      <c r="A11" s="43">
        <v>46100</v>
      </c>
      <c r="B11" s="2" t="s">
        <v>13</v>
      </c>
      <c r="C11" s="13">
        <v>1</v>
      </c>
      <c r="D11" s="14" t="s">
        <v>36</v>
      </c>
      <c r="E11" s="13">
        <v>16</v>
      </c>
      <c r="F11" s="14" t="s">
        <v>5</v>
      </c>
      <c r="G11" s="4">
        <v>0.93584199999999995</v>
      </c>
      <c r="H11" s="3">
        <v>1</v>
      </c>
      <c r="I11" s="4">
        <f t="shared" si="0"/>
        <v>6.6308620172249103E-2</v>
      </c>
      <c r="J11" s="49">
        <v>1</v>
      </c>
      <c r="K11" s="2">
        <v>0</v>
      </c>
      <c r="L11" s="2" t="s">
        <v>36</v>
      </c>
      <c r="M11" s="14">
        <v>1</v>
      </c>
      <c r="N11" s="20">
        <v>10</v>
      </c>
      <c r="O11" s="2"/>
    </row>
    <row r="12" spans="1:15">
      <c r="A12" s="43">
        <v>46100</v>
      </c>
      <c r="B12" s="2" t="s">
        <v>13</v>
      </c>
      <c r="C12" s="13">
        <v>6</v>
      </c>
      <c r="D12" s="14" t="s">
        <v>37</v>
      </c>
      <c r="E12" s="13">
        <v>11</v>
      </c>
      <c r="F12" s="14" t="s">
        <v>6</v>
      </c>
      <c r="G12" s="4">
        <v>0.65122519999999995</v>
      </c>
      <c r="H12" s="3">
        <v>0</v>
      </c>
      <c r="I12" s="4">
        <f t="shared" si="0"/>
        <v>1.0533288372637255</v>
      </c>
      <c r="J12" s="49">
        <v>1</v>
      </c>
      <c r="K12" s="3">
        <v>1</v>
      </c>
      <c r="L12" s="3" t="s">
        <v>6</v>
      </c>
      <c r="M12" s="14">
        <v>1</v>
      </c>
      <c r="N12" s="20">
        <v>10</v>
      </c>
      <c r="O12" s="2"/>
    </row>
    <row r="13" spans="1:15">
      <c r="A13" s="43">
        <v>46100</v>
      </c>
      <c r="B13" s="2" t="s">
        <v>13</v>
      </c>
      <c r="C13" s="13">
        <v>7</v>
      </c>
      <c r="D13" s="14" t="s">
        <v>38</v>
      </c>
      <c r="E13" s="13">
        <v>10</v>
      </c>
      <c r="F13" s="14" t="s">
        <v>39</v>
      </c>
      <c r="G13" s="4">
        <v>0.49687730000000002</v>
      </c>
      <c r="H13" s="3">
        <v>0</v>
      </c>
      <c r="I13" s="4">
        <f t="shared" si="0"/>
        <v>0.68692120224832964</v>
      </c>
      <c r="J13" s="49">
        <v>1</v>
      </c>
      <c r="K13" s="3">
        <v>1</v>
      </c>
      <c r="L13" s="3" t="s">
        <v>39</v>
      </c>
      <c r="M13" s="14">
        <v>1</v>
      </c>
      <c r="N13" s="20">
        <v>10</v>
      </c>
      <c r="O13" s="2"/>
    </row>
    <row r="14" spans="1:15">
      <c r="A14" s="43">
        <v>46100</v>
      </c>
      <c r="B14" s="2" t="s">
        <v>13</v>
      </c>
      <c r="C14" s="13">
        <v>3</v>
      </c>
      <c r="D14" s="14" t="s">
        <v>41</v>
      </c>
      <c r="E14" s="13">
        <v>14</v>
      </c>
      <c r="F14" s="14" t="s">
        <v>40</v>
      </c>
      <c r="G14" s="4">
        <v>0.85732969999999997</v>
      </c>
      <c r="H14" s="3">
        <v>1</v>
      </c>
      <c r="I14" s="4">
        <f t="shared" si="0"/>
        <v>0.15393272024883975</v>
      </c>
      <c r="J14" s="49">
        <v>1</v>
      </c>
      <c r="K14" s="3">
        <v>0</v>
      </c>
      <c r="L14" s="3" t="s">
        <v>41</v>
      </c>
      <c r="M14" s="14">
        <v>1</v>
      </c>
      <c r="N14" s="20">
        <v>10</v>
      </c>
      <c r="O14" s="2"/>
    </row>
    <row r="15" spans="1:15">
      <c r="A15" s="43">
        <v>46100</v>
      </c>
      <c r="B15" s="2" t="s">
        <v>13</v>
      </c>
      <c r="C15" s="13">
        <v>8</v>
      </c>
      <c r="D15" s="14" t="s">
        <v>42</v>
      </c>
      <c r="E15" s="13">
        <v>9</v>
      </c>
      <c r="F15" s="14" t="s">
        <v>43</v>
      </c>
      <c r="G15" s="4">
        <v>0.57317149999999994</v>
      </c>
      <c r="H15" s="3">
        <v>0</v>
      </c>
      <c r="I15" s="4">
        <f t="shared" si="0"/>
        <v>0.85137298577645926</v>
      </c>
      <c r="J15" s="49">
        <v>1</v>
      </c>
      <c r="K15" s="3">
        <v>1</v>
      </c>
      <c r="L15" s="3" t="s">
        <v>43</v>
      </c>
      <c r="M15" s="14">
        <v>1</v>
      </c>
      <c r="N15" s="20">
        <v>10</v>
      </c>
      <c r="O15" s="2"/>
    </row>
    <row r="16" spans="1:15">
      <c r="A16" s="43">
        <v>46100</v>
      </c>
      <c r="B16" s="2" t="s">
        <v>13</v>
      </c>
      <c r="C16" s="13">
        <v>3</v>
      </c>
      <c r="D16" s="14" t="s">
        <v>16</v>
      </c>
      <c r="E16" s="13">
        <v>14</v>
      </c>
      <c r="F16" s="14" t="s">
        <v>17</v>
      </c>
      <c r="G16" s="4">
        <v>0.82867159999999995</v>
      </c>
      <c r="H16" s="3">
        <v>1</v>
      </c>
      <c r="I16" s="4">
        <f t="shared" si="0"/>
        <v>0.18793134225861471</v>
      </c>
      <c r="J16" s="49">
        <v>1</v>
      </c>
      <c r="K16" s="3">
        <v>0</v>
      </c>
      <c r="L16" s="3" t="s">
        <v>16</v>
      </c>
      <c r="M16" s="14">
        <v>1</v>
      </c>
      <c r="N16" s="20">
        <v>10</v>
      </c>
      <c r="O16" s="2"/>
    </row>
    <row r="17" spans="1:15">
      <c r="A17" s="44">
        <v>46100</v>
      </c>
      <c r="B17" s="9" t="s">
        <v>13</v>
      </c>
      <c r="C17" s="15">
        <v>2</v>
      </c>
      <c r="D17" s="16" t="s">
        <v>15</v>
      </c>
      <c r="E17" s="15">
        <v>15</v>
      </c>
      <c r="F17" s="16" t="s">
        <v>14</v>
      </c>
      <c r="G17" s="19">
        <v>0.83556200000000003</v>
      </c>
      <c r="H17" s="10">
        <v>1</v>
      </c>
      <c r="I17" s="6">
        <f t="shared" si="0"/>
        <v>0.17965072663825668</v>
      </c>
      <c r="J17" s="50">
        <v>1</v>
      </c>
      <c r="K17" s="10">
        <v>0</v>
      </c>
      <c r="L17" s="10" t="s">
        <v>15</v>
      </c>
      <c r="M17" s="16">
        <v>1</v>
      </c>
      <c r="N17" s="21">
        <v>10</v>
      </c>
      <c r="O17" s="2"/>
    </row>
    <row r="18" spans="1:15">
      <c r="A18" s="7">
        <v>46101</v>
      </c>
      <c r="B18" s="2" t="s">
        <v>13</v>
      </c>
      <c r="C18" s="13">
        <v>7</v>
      </c>
      <c r="D18" s="14" t="s">
        <v>44</v>
      </c>
      <c r="E18" s="13">
        <v>10</v>
      </c>
      <c r="F18" s="14" t="s">
        <v>45</v>
      </c>
      <c r="G18" s="4">
        <v>0.73920039999999998</v>
      </c>
      <c r="H18" s="3">
        <v>1</v>
      </c>
      <c r="I18" s="4">
        <f t="shared" si="0"/>
        <v>0.30218621752926794</v>
      </c>
      <c r="J18" s="49">
        <v>1</v>
      </c>
      <c r="K18" s="3">
        <v>0</v>
      </c>
      <c r="L18" s="3" t="s">
        <v>44</v>
      </c>
      <c r="M18" s="14">
        <v>1</v>
      </c>
      <c r="N18" s="20">
        <v>10</v>
      </c>
      <c r="O18" s="2"/>
    </row>
    <row r="19" spans="1:15">
      <c r="A19" s="7">
        <v>46101</v>
      </c>
      <c r="B19" s="2" t="s">
        <v>13</v>
      </c>
      <c r="C19" s="13">
        <v>5</v>
      </c>
      <c r="D19" s="14" t="s">
        <v>46</v>
      </c>
      <c r="E19" s="13">
        <v>12</v>
      </c>
      <c r="F19" s="14" t="s">
        <v>47</v>
      </c>
      <c r="G19" s="4">
        <v>0.83640119999999996</v>
      </c>
      <c r="H19" s="3">
        <v>1</v>
      </c>
      <c r="I19" s="4">
        <f t="shared" si="0"/>
        <v>0.17864687670845825</v>
      </c>
      <c r="J19" s="49">
        <v>1</v>
      </c>
      <c r="K19" s="3">
        <v>0</v>
      </c>
      <c r="L19" s="3" t="s">
        <v>46</v>
      </c>
      <c r="M19" s="14">
        <v>1</v>
      </c>
      <c r="N19" s="20">
        <v>10</v>
      </c>
      <c r="O19" s="2"/>
    </row>
    <row r="20" spans="1:15">
      <c r="A20" s="7">
        <v>46101</v>
      </c>
      <c r="B20" s="2" t="s">
        <v>13</v>
      </c>
      <c r="C20" s="13">
        <v>1</v>
      </c>
      <c r="D20" s="14" t="s">
        <v>48</v>
      </c>
      <c r="E20" s="13">
        <v>16</v>
      </c>
      <c r="F20" s="14" t="s">
        <v>49</v>
      </c>
      <c r="G20" s="4">
        <v>0.87710460000000001</v>
      </c>
      <c r="H20" s="3">
        <v>1</v>
      </c>
      <c r="I20" s="4">
        <f t="shared" si="0"/>
        <v>0.13112902348263084</v>
      </c>
      <c r="J20" s="49">
        <v>1</v>
      </c>
      <c r="K20" s="3">
        <v>0</v>
      </c>
      <c r="L20" s="3" t="s">
        <v>48</v>
      </c>
      <c r="M20" s="14">
        <v>1</v>
      </c>
      <c r="N20" s="20">
        <v>10</v>
      </c>
      <c r="O20" s="2"/>
    </row>
    <row r="21" spans="1:15">
      <c r="A21" s="7">
        <v>46101</v>
      </c>
      <c r="B21" s="2" t="s">
        <v>13</v>
      </c>
      <c r="C21" s="13">
        <v>3</v>
      </c>
      <c r="D21" s="14" t="s">
        <v>50</v>
      </c>
      <c r="E21" s="13">
        <v>14</v>
      </c>
      <c r="F21" s="14" t="s">
        <v>51</v>
      </c>
      <c r="G21" s="4">
        <v>0.90717959999999997</v>
      </c>
      <c r="H21" s="3">
        <v>1</v>
      </c>
      <c r="I21" s="4">
        <f t="shared" si="0"/>
        <v>9.7414833033967488E-2</v>
      </c>
      <c r="J21" s="49">
        <v>1</v>
      </c>
      <c r="K21" s="2">
        <v>0</v>
      </c>
      <c r="L21" s="2" t="s">
        <v>50</v>
      </c>
      <c r="M21" s="14">
        <v>1</v>
      </c>
      <c r="N21" s="20">
        <v>10</v>
      </c>
      <c r="O21" s="2"/>
    </row>
    <row r="22" spans="1:15">
      <c r="A22" s="7">
        <v>46101</v>
      </c>
      <c r="B22" s="2" t="s">
        <v>13</v>
      </c>
      <c r="C22" s="13">
        <v>2</v>
      </c>
      <c r="D22" s="14" t="s">
        <v>52</v>
      </c>
      <c r="E22" s="13">
        <v>15</v>
      </c>
      <c r="F22" s="14" t="s">
        <v>53</v>
      </c>
      <c r="G22" s="4">
        <v>0.92998320000000001</v>
      </c>
      <c r="H22" s="3">
        <v>1</v>
      </c>
      <c r="I22" s="4">
        <f t="shared" si="0"/>
        <v>7.2588757514129784E-2</v>
      </c>
      <c r="J22" s="49">
        <v>1</v>
      </c>
      <c r="K22" s="3">
        <v>0</v>
      </c>
      <c r="L22" s="3" t="s">
        <v>52</v>
      </c>
      <c r="M22" s="14">
        <v>1</v>
      </c>
      <c r="N22" s="20">
        <v>10</v>
      </c>
      <c r="O22" s="2"/>
    </row>
    <row r="23" spans="1:15">
      <c r="A23" s="7">
        <v>46101</v>
      </c>
      <c r="B23" s="2" t="s">
        <v>13</v>
      </c>
      <c r="C23" s="13">
        <v>4</v>
      </c>
      <c r="D23" s="14" t="s">
        <v>54</v>
      </c>
      <c r="E23" s="13">
        <v>13</v>
      </c>
      <c r="F23" s="14" t="s">
        <v>55</v>
      </c>
      <c r="G23" s="4">
        <v>0.77380320000000002</v>
      </c>
      <c r="H23" s="3">
        <v>1</v>
      </c>
      <c r="I23" s="4">
        <f t="shared" si="0"/>
        <v>0.25643770128876225</v>
      </c>
      <c r="J23" s="49">
        <v>1</v>
      </c>
      <c r="K23" s="3">
        <v>0</v>
      </c>
      <c r="L23" s="3" t="s">
        <v>54</v>
      </c>
      <c r="M23" s="14">
        <v>1</v>
      </c>
      <c r="N23" s="20">
        <v>10</v>
      </c>
      <c r="O23" s="2"/>
    </row>
    <row r="24" spans="1:15">
      <c r="A24" s="7">
        <v>46101</v>
      </c>
      <c r="B24" s="2" t="s">
        <v>13</v>
      </c>
      <c r="C24" s="13">
        <v>8</v>
      </c>
      <c r="D24" s="14" t="s">
        <v>56</v>
      </c>
      <c r="E24" s="13">
        <v>9</v>
      </c>
      <c r="F24" s="14" t="s">
        <v>57</v>
      </c>
      <c r="G24" s="4">
        <v>0.52121640000000002</v>
      </c>
      <c r="H24" s="3">
        <v>0</v>
      </c>
      <c r="I24" s="4">
        <f t="shared" si="0"/>
        <v>0.73650655818235256</v>
      </c>
      <c r="J24" s="49">
        <v>1</v>
      </c>
      <c r="K24" s="3">
        <v>1</v>
      </c>
      <c r="L24" s="3" t="s">
        <v>57</v>
      </c>
      <c r="M24" s="14">
        <v>1</v>
      </c>
      <c r="N24" s="20">
        <v>10</v>
      </c>
      <c r="O24" s="2"/>
    </row>
    <row r="25" spans="1:15">
      <c r="A25" s="7">
        <v>46101</v>
      </c>
      <c r="B25" s="2" t="s">
        <v>13</v>
      </c>
      <c r="C25" s="13">
        <v>6</v>
      </c>
      <c r="D25" s="14" t="s">
        <v>58</v>
      </c>
      <c r="E25" s="13">
        <v>11</v>
      </c>
      <c r="F25" s="14" t="s">
        <v>9</v>
      </c>
      <c r="G25" s="4">
        <v>0.75211700000000004</v>
      </c>
      <c r="H25" s="3">
        <v>1</v>
      </c>
      <c r="I25" s="4">
        <f t="shared" si="0"/>
        <v>0.28486338202802158</v>
      </c>
      <c r="J25" s="49">
        <v>1</v>
      </c>
      <c r="K25" s="3">
        <v>0</v>
      </c>
      <c r="L25" s="3" t="s">
        <v>58</v>
      </c>
      <c r="M25" s="14">
        <v>1</v>
      </c>
      <c r="N25" s="20">
        <v>10</v>
      </c>
      <c r="O25" s="2"/>
    </row>
    <row r="26" spans="1:15">
      <c r="A26" s="7">
        <v>46101</v>
      </c>
      <c r="B26" s="2" t="s">
        <v>13</v>
      </c>
      <c r="C26" s="13">
        <v>8</v>
      </c>
      <c r="D26" s="14" t="s">
        <v>59</v>
      </c>
      <c r="E26" s="13">
        <v>9</v>
      </c>
      <c r="F26" s="14" t="s">
        <v>60</v>
      </c>
      <c r="G26" s="4">
        <v>0.49673299999999998</v>
      </c>
      <c r="H26" s="3">
        <v>0</v>
      </c>
      <c r="I26" s="4">
        <f t="shared" si="0"/>
        <v>0.68663443460555884</v>
      </c>
      <c r="J26" s="49">
        <v>1</v>
      </c>
      <c r="K26" s="3">
        <v>1</v>
      </c>
      <c r="L26" s="3" t="s">
        <v>60</v>
      </c>
      <c r="M26" s="14">
        <v>1</v>
      </c>
      <c r="N26" s="20">
        <v>10</v>
      </c>
      <c r="O26" s="2"/>
    </row>
    <row r="27" spans="1:15">
      <c r="A27" s="7">
        <v>46101</v>
      </c>
      <c r="B27" s="2" t="s">
        <v>13</v>
      </c>
      <c r="C27" s="13">
        <v>5</v>
      </c>
      <c r="D27" s="14" t="s">
        <v>75</v>
      </c>
      <c r="E27" s="13">
        <v>12</v>
      </c>
      <c r="F27" s="14" t="s">
        <v>61</v>
      </c>
      <c r="G27" s="4">
        <v>0.88181399999999999</v>
      </c>
      <c r="H27" s="3">
        <v>1</v>
      </c>
      <c r="I27" s="4">
        <f t="shared" si="0"/>
        <v>0.12577412956831924</v>
      </c>
      <c r="J27" s="49">
        <v>1</v>
      </c>
      <c r="K27" s="3">
        <v>0</v>
      </c>
      <c r="L27" s="3" t="s">
        <v>75</v>
      </c>
      <c r="M27" s="14">
        <v>1</v>
      </c>
      <c r="N27" s="20">
        <v>10</v>
      </c>
      <c r="O27" s="2"/>
    </row>
    <row r="28" spans="1:15">
      <c r="A28" s="7">
        <v>46101</v>
      </c>
      <c r="B28" s="2" t="s">
        <v>13</v>
      </c>
      <c r="C28" s="13">
        <v>7</v>
      </c>
      <c r="D28" s="14" t="s">
        <v>64</v>
      </c>
      <c r="E28" s="13">
        <v>10</v>
      </c>
      <c r="F28" s="14" t="s">
        <v>65</v>
      </c>
      <c r="G28" s="4">
        <v>0.62606300000000004</v>
      </c>
      <c r="H28" s="3">
        <v>1</v>
      </c>
      <c r="I28" s="4">
        <f t="shared" si="0"/>
        <v>0.46830427396816487</v>
      </c>
      <c r="J28" s="49">
        <v>1</v>
      </c>
      <c r="K28" s="3">
        <v>0</v>
      </c>
      <c r="L28" s="3" t="s">
        <v>65</v>
      </c>
      <c r="M28" s="14">
        <v>0</v>
      </c>
      <c r="N28" s="20">
        <v>0</v>
      </c>
      <c r="O28" s="2"/>
    </row>
    <row r="29" spans="1:15">
      <c r="A29" s="7">
        <v>46101</v>
      </c>
      <c r="B29" s="2" t="s">
        <v>13</v>
      </c>
      <c r="C29" s="13">
        <v>2</v>
      </c>
      <c r="D29" s="14" t="s">
        <v>66</v>
      </c>
      <c r="E29" s="13">
        <v>15</v>
      </c>
      <c r="F29" s="14" t="s">
        <v>67</v>
      </c>
      <c r="G29" s="4">
        <v>0.91875530000000005</v>
      </c>
      <c r="H29" s="3">
        <v>1</v>
      </c>
      <c r="I29" s="4">
        <f t="shared" si="0"/>
        <v>8.4735459764246499E-2</v>
      </c>
      <c r="J29" s="49">
        <v>1</v>
      </c>
      <c r="K29" s="3">
        <v>0</v>
      </c>
      <c r="L29" s="3" t="s">
        <v>66</v>
      </c>
      <c r="M29" s="14">
        <v>1</v>
      </c>
      <c r="N29" s="20">
        <v>10</v>
      </c>
      <c r="O29" s="2"/>
    </row>
    <row r="30" spans="1:15">
      <c r="A30" s="7">
        <v>46101</v>
      </c>
      <c r="B30" s="2" t="s">
        <v>13</v>
      </c>
      <c r="C30" s="13">
        <v>1</v>
      </c>
      <c r="D30" s="14" t="s">
        <v>68</v>
      </c>
      <c r="E30" s="13">
        <v>16</v>
      </c>
      <c r="F30" s="14" t="s">
        <v>8</v>
      </c>
      <c r="G30" s="4">
        <v>0.94331030000000005</v>
      </c>
      <c r="H30" s="3">
        <v>1</v>
      </c>
      <c r="I30" s="4">
        <f t="shared" si="0"/>
        <v>5.8359994272192975E-2</v>
      </c>
      <c r="J30" s="49">
        <v>1</v>
      </c>
      <c r="K30" s="3">
        <v>0</v>
      </c>
      <c r="L30" s="3" t="s">
        <v>68</v>
      </c>
      <c r="M30" s="14">
        <v>1</v>
      </c>
      <c r="N30" s="20">
        <v>10</v>
      </c>
      <c r="O30" s="2"/>
    </row>
    <row r="31" spans="1:15">
      <c r="A31" s="7">
        <v>46101</v>
      </c>
      <c r="B31" s="2" t="s">
        <v>13</v>
      </c>
      <c r="C31" s="13">
        <v>4</v>
      </c>
      <c r="D31" s="14" t="s">
        <v>69</v>
      </c>
      <c r="E31" s="13">
        <v>13</v>
      </c>
      <c r="F31" s="14" t="s">
        <v>70</v>
      </c>
      <c r="G31" s="4">
        <v>0.88600489999999998</v>
      </c>
      <c r="H31" s="3">
        <v>1</v>
      </c>
      <c r="I31" s="4">
        <f t="shared" si="0"/>
        <v>0.12103279791830851</v>
      </c>
      <c r="J31" s="49">
        <v>1</v>
      </c>
      <c r="K31" s="2">
        <v>0</v>
      </c>
      <c r="L31" s="2" t="s">
        <v>69</v>
      </c>
      <c r="M31" s="14">
        <v>1</v>
      </c>
      <c r="N31" s="20">
        <v>10</v>
      </c>
      <c r="O31" s="2"/>
    </row>
    <row r="32" spans="1:15">
      <c r="A32" s="7">
        <v>46101</v>
      </c>
      <c r="B32" s="2" t="s">
        <v>13</v>
      </c>
      <c r="C32" s="13">
        <v>2</v>
      </c>
      <c r="D32" s="14" t="s">
        <v>74</v>
      </c>
      <c r="E32" s="13">
        <v>15</v>
      </c>
      <c r="F32" s="14" t="s">
        <v>71</v>
      </c>
      <c r="G32" s="4">
        <v>0.92851150000000005</v>
      </c>
      <c r="H32" s="3">
        <v>1</v>
      </c>
      <c r="I32" s="4">
        <f t="shared" si="0"/>
        <v>7.4172512697956411E-2</v>
      </c>
      <c r="J32" s="49">
        <v>1</v>
      </c>
      <c r="K32" s="3">
        <v>0</v>
      </c>
      <c r="L32" s="3" t="s">
        <v>74</v>
      </c>
      <c r="M32" s="14">
        <v>1</v>
      </c>
      <c r="N32" s="20">
        <v>10</v>
      </c>
      <c r="O32" s="2"/>
    </row>
    <row r="33" spans="1:24">
      <c r="A33" s="8">
        <v>46101</v>
      </c>
      <c r="B33" s="9" t="s">
        <v>13</v>
      </c>
      <c r="C33" s="15">
        <v>7</v>
      </c>
      <c r="D33" s="16" t="s">
        <v>72</v>
      </c>
      <c r="E33" s="15">
        <v>10</v>
      </c>
      <c r="F33" s="16" t="s">
        <v>73</v>
      </c>
      <c r="G33" s="19">
        <v>0.61025620000000003</v>
      </c>
      <c r="H33" s="10">
        <v>1</v>
      </c>
      <c r="I33" s="6">
        <f t="shared" si="0"/>
        <v>0.49387640999009186</v>
      </c>
      <c r="J33" s="16">
        <v>1</v>
      </c>
      <c r="K33" s="9">
        <v>0</v>
      </c>
      <c r="L33" s="9" t="s">
        <v>72</v>
      </c>
      <c r="M33" s="16">
        <v>1</v>
      </c>
      <c r="N33" s="21">
        <v>10</v>
      </c>
      <c r="O33" s="2"/>
    </row>
    <row r="34" spans="1:24">
      <c r="A34" s="22">
        <v>46102</v>
      </c>
      <c r="B34" s="23" t="s">
        <v>78</v>
      </c>
      <c r="C34" s="32">
        <v>1</v>
      </c>
      <c r="D34" s="25" t="s">
        <v>36</v>
      </c>
      <c r="E34" s="32">
        <v>9</v>
      </c>
      <c r="F34" s="25" t="s">
        <v>43</v>
      </c>
      <c r="G34" s="32">
        <v>0.91569999999999996</v>
      </c>
      <c r="H34" s="23">
        <v>1</v>
      </c>
      <c r="I34" s="24">
        <f t="shared" si="0"/>
        <v>8.8066478868450634E-2</v>
      </c>
      <c r="J34" s="51">
        <v>1</v>
      </c>
      <c r="K34" s="23">
        <v>0</v>
      </c>
      <c r="L34" s="23" t="s">
        <v>36</v>
      </c>
      <c r="M34" s="23">
        <v>1</v>
      </c>
      <c r="N34" s="35">
        <v>20</v>
      </c>
      <c r="P34" s="1" t="s">
        <v>80</v>
      </c>
      <c r="Q34" s="1" t="s">
        <v>81</v>
      </c>
      <c r="R34" s="1" t="s">
        <v>79</v>
      </c>
      <c r="S34" s="1" t="s">
        <v>83</v>
      </c>
      <c r="T34" s="1" t="s">
        <v>84</v>
      </c>
      <c r="U34" s="1" t="s">
        <v>83</v>
      </c>
      <c r="V34" s="1" t="s">
        <v>119</v>
      </c>
    </row>
    <row r="35" spans="1:24">
      <c r="A35" s="26">
        <v>46102</v>
      </c>
      <c r="B35" s="1" t="s">
        <v>78</v>
      </c>
      <c r="C35" s="33">
        <v>1</v>
      </c>
      <c r="D35" s="28" t="s">
        <v>26</v>
      </c>
      <c r="E35" s="33">
        <v>9</v>
      </c>
      <c r="F35" s="28" t="s">
        <v>19</v>
      </c>
      <c r="G35" s="33">
        <v>0.86219999999999997</v>
      </c>
      <c r="H35" s="1">
        <v>1</v>
      </c>
      <c r="I35" s="27">
        <f t="shared" si="0"/>
        <v>0.14826801666910286</v>
      </c>
      <c r="J35" s="52">
        <v>1</v>
      </c>
      <c r="K35" s="1">
        <v>0</v>
      </c>
      <c r="L35" s="1" t="s">
        <v>26</v>
      </c>
      <c r="M35" s="1">
        <v>1</v>
      </c>
      <c r="N35" s="36">
        <v>20</v>
      </c>
      <c r="P35" s="1">
        <v>64</v>
      </c>
      <c r="Q35" s="1">
        <v>32</v>
      </c>
      <c r="R35" s="1">
        <v>10</v>
      </c>
      <c r="S35" s="1">
        <f t="shared" ref="S35:S40" si="1">R35*Q35</f>
        <v>320</v>
      </c>
      <c r="T35" s="1">
        <f>SUM(N2:N33)</f>
        <v>290</v>
      </c>
      <c r="U35" s="1">
        <v>320</v>
      </c>
      <c r="V35" s="1">
        <f>T35/R35</f>
        <v>29</v>
      </c>
    </row>
    <row r="36" spans="1:24">
      <c r="A36" s="26">
        <v>46102</v>
      </c>
      <c r="B36" s="1" t="s">
        <v>78</v>
      </c>
      <c r="C36" s="33">
        <v>3</v>
      </c>
      <c r="D36" s="28" t="s">
        <v>30</v>
      </c>
      <c r="E36" s="33">
        <v>6</v>
      </c>
      <c r="F36" s="28" t="s">
        <v>22</v>
      </c>
      <c r="G36" s="45">
        <v>0.52059999999999995</v>
      </c>
      <c r="H36" s="1">
        <v>1</v>
      </c>
      <c r="I36" s="54">
        <f t="shared" si="0"/>
        <v>0.65277328642167209</v>
      </c>
      <c r="J36" s="52">
        <v>0</v>
      </c>
      <c r="K36" s="1">
        <v>0</v>
      </c>
      <c r="L36" s="1" t="s">
        <v>30</v>
      </c>
      <c r="M36" s="1">
        <v>1</v>
      </c>
      <c r="N36" s="36">
        <v>20</v>
      </c>
      <c r="P36" s="1">
        <v>32</v>
      </c>
      <c r="Q36" s="1">
        <v>16</v>
      </c>
      <c r="R36" s="1">
        <v>20</v>
      </c>
      <c r="S36" s="1">
        <f t="shared" si="1"/>
        <v>320</v>
      </c>
      <c r="T36" s="1">
        <f>SUM(N34:N49)</f>
        <v>260</v>
      </c>
      <c r="U36" s="1">
        <v>320</v>
      </c>
      <c r="V36" s="1">
        <f t="shared" ref="V36:V40" si="2">T36/R36</f>
        <v>13</v>
      </c>
    </row>
    <row r="37" spans="1:24">
      <c r="A37" s="26">
        <v>46102</v>
      </c>
      <c r="B37" s="1" t="s">
        <v>78</v>
      </c>
      <c r="C37" s="33">
        <v>3</v>
      </c>
      <c r="D37" s="28" t="s">
        <v>16</v>
      </c>
      <c r="E37" s="33">
        <v>11</v>
      </c>
      <c r="F37" s="28" t="s">
        <v>6</v>
      </c>
      <c r="G37" s="33">
        <v>0.68410000000000004</v>
      </c>
      <c r="H37" s="1">
        <v>0</v>
      </c>
      <c r="I37" s="27">
        <f t="shared" si="0"/>
        <v>1.1523295711740977</v>
      </c>
      <c r="J37" s="52">
        <v>1</v>
      </c>
      <c r="K37" s="1">
        <v>1</v>
      </c>
      <c r="L37" s="1" t="s">
        <v>16</v>
      </c>
      <c r="M37" s="1">
        <v>0</v>
      </c>
      <c r="N37" s="36">
        <v>0</v>
      </c>
      <c r="P37" s="1">
        <v>16</v>
      </c>
      <c r="Q37" s="1">
        <v>8</v>
      </c>
      <c r="R37" s="1">
        <v>40</v>
      </c>
      <c r="S37" s="1">
        <f t="shared" si="1"/>
        <v>320</v>
      </c>
      <c r="T37" s="1">
        <f>SUM(N50:N57)</f>
        <v>160</v>
      </c>
      <c r="U37" s="1">
        <v>280</v>
      </c>
      <c r="V37" s="1">
        <f t="shared" si="2"/>
        <v>4</v>
      </c>
    </row>
    <row r="38" spans="1:24">
      <c r="A38" s="26">
        <v>46102</v>
      </c>
      <c r="B38" s="1" t="s">
        <v>78</v>
      </c>
      <c r="C38" s="33">
        <v>2</v>
      </c>
      <c r="D38" s="28" t="s">
        <v>15</v>
      </c>
      <c r="E38" s="33">
        <v>10</v>
      </c>
      <c r="F38" s="28" t="s">
        <v>39</v>
      </c>
      <c r="G38" s="33">
        <v>0.75309999999999999</v>
      </c>
      <c r="H38" s="1">
        <v>1</v>
      </c>
      <c r="I38" s="27">
        <f t="shared" si="0"/>
        <v>0.28355725787483105</v>
      </c>
      <c r="J38" s="52">
        <v>1</v>
      </c>
      <c r="K38" s="1">
        <v>0</v>
      </c>
      <c r="L38" s="1" t="s">
        <v>15</v>
      </c>
      <c r="M38" s="1">
        <v>1</v>
      </c>
      <c r="N38" s="36">
        <v>20</v>
      </c>
      <c r="P38" s="1">
        <v>8</v>
      </c>
      <c r="Q38" s="1">
        <v>4</v>
      </c>
      <c r="R38" s="1">
        <v>80</v>
      </c>
      <c r="S38" s="1">
        <f t="shared" si="1"/>
        <v>320</v>
      </c>
      <c r="T38" s="1">
        <f>SUM(N58:N61)</f>
        <v>160</v>
      </c>
      <c r="U38" s="1">
        <v>240</v>
      </c>
      <c r="V38" s="1">
        <f t="shared" si="2"/>
        <v>2</v>
      </c>
    </row>
    <row r="39" spans="1:24">
      <c r="A39" s="26">
        <v>46102</v>
      </c>
      <c r="B39" s="1" t="s">
        <v>78</v>
      </c>
      <c r="C39" s="33">
        <v>3</v>
      </c>
      <c r="D39" s="28" t="s">
        <v>41</v>
      </c>
      <c r="E39" s="33">
        <v>11</v>
      </c>
      <c r="F39" s="28" t="s">
        <v>35</v>
      </c>
      <c r="G39" s="33">
        <v>0.78690000000000004</v>
      </c>
      <c r="H39" s="1">
        <v>1</v>
      </c>
      <c r="I39" s="27">
        <f t="shared" si="0"/>
        <v>0.23965410344119931</v>
      </c>
      <c r="J39" s="52">
        <v>1</v>
      </c>
      <c r="K39" s="1">
        <v>0</v>
      </c>
      <c r="L39" s="1" t="s">
        <v>41</v>
      </c>
      <c r="M39" s="1">
        <v>1</v>
      </c>
      <c r="N39" s="36">
        <v>20</v>
      </c>
      <c r="P39" s="1">
        <v>4</v>
      </c>
      <c r="Q39" s="1">
        <v>2</v>
      </c>
      <c r="R39" s="1">
        <v>160</v>
      </c>
      <c r="S39" s="1">
        <f t="shared" si="1"/>
        <v>320</v>
      </c>
      <c r="T39" s="1">
        <f>SUM(N62:N63)</f>
        <v>160</v>
      </c>
      <c r="U39" s="1">
        <v>160</v>
      </c>
      <c r="V39" s="1">
        <f t="shared" si="2"/>
        <v>1</v>
      </c>
    </row>
    <row r="40" spans="1:24">
      <c r="A40" s="26">
        <v>46102</v>
      </c>
      <c r="B40" s="1" t="s">
        <v>78</v>
      </c>
      <c r="C40" s="33">
        <v>4</v>
      </c>
      <c r="D40" s="28" t="s">
        <v>20</v>
      </c>
      <c r="E40" s="33">
        <v>5</v>
      </c>
      <c r="F40" s="28" t="s">
        <v>29</v>
      </c>
      <c r="G40" s="33">
        <v>0.43590000000000001</v>
      </c>
      <c r="H40" s="1">
        <v>1</v>
      </c>
      <c r="I40" s="27">
        <f t="shared" si="0"/>
        <v>0.83034241973779011</v>
      </c>
      <c r="J40" s="52">
        <v>1</v>
      </c>
      <c r="K40" s="1">
        <v>0</v>
      </c>
      <c r="L40" s="1" t="s">
        <v>29</v>
      </c>
      <c r="M40" s="1">
        <v>0</v>
      </c>
      <c r="N40" s="36">
        <v>0</v>
      </c>
      <c r="P40" s="1">
        <v>2</v>
      </c>
      <c r="Q40" s="1">
        <v>1</v>
      </c>
      <c r="R40" s="1">
        <v>320</v>
      </c>
      <c r="S40" s="1">
        <f t="shared" si="1"/>
        <v>320</v>
      </c>
      <c r="T40" s="1">
        <f>SUM(N64)</f>
        <v>320</v>
      </c>
      <c r="U40" s="1">
        <v>320</v>
      </c>
      <c r="V40" s="1">
        <f t="shared" si="2"/>
        <v>1</v>
      </c>
    </row>
    <row r="41" spans="1:24">
      <c r="A41" s="29">
        <v>46102</v>
      </c>
      <c r="B41" s="5" t="s">
        <v>78</v>
      </c>
      <c r="C41" s="34">
        <v>4</v>
      </c>
      <c r="D41" s="31" t="s">
        <v>32</v>
      </c>
      <c r="E41" s="34">
        <v>12</v>
      </c>
      <c r="F41" s="31" t="s">
        <v>25</v>
      </c>
      <c r="G41" s="46">
        <v>0.88929999999999998</v>
      </c>
      <c r="H41" s="5">
        <v>1</v>
      </c>
      <c r="I41" s="48">
        <f t="shared" si="0"/>
        <v>0.11732064257654271</v>
      </c>
      <c r="J41" s="53">
        <v>0</v>
      </c>
      <c r="K41" s="5">
        <v>0</v>
      </c>
      <c r="L41" s="5" t="s">
        <v>32</v>
      </c>
      <c r="M41" s="5">
        <v>1</v>
      </c>
      <c r="N41" s="37">
        <v>20</v>
      </c>
      <c r="S41" s="1">
        <f>SUM(S35:S40)</f>
        <v>1920</v>
      </c>
      <c r="T41" s="1">
        <f>SUM(T35:T40)</f>
        <v>1350</v>
      </c>
      <c r="V41" s="1">
        <f>SUM(V35:V40)</f>
        <v>50</v>
      </c>
    </row>
    <row r="42" spans="1:24">
      <c r="A42" s="22">
        <v>46103</v>
      </c>
      <c r="B42" s="23" t="s">
        <v>78</v>
      </c>
      <c r="C42" s="32">
        <v>2</v>
      </c>
      <c r="D42" s="25" t="s">
        <v>66</v>
      </c>
      <c r="E42" s="32">
        <v>7</v>
      </c>
      <c r="F42" s="25" t="s">
        <v>72</v>
      </c>
      <c r="G42" s="32">
        <v>0.66439999999999999</v>
      </c>
      <c r="H42" s="23">
        <v>1</v>
      </c>
      <c r="I42" s="24">
        <f t="shared" si="0"/>
        <v>0.40887090124299724</v>
      </c>
      <c r="J42" s="51">
        <v>1</v>
      </c>
      <c r="K42" s="23">
        <v>0</v>
      </c>
      <c r="L42" s="23" t="s">
        <v>66</v>
      </c>
      <c r="M42" s="23">
        <v>1</v>
      </c>
      <c r="N42" s="35">
        <v>20</v>
      </c>
    </row>
    <row r="43" spans="1:24">
      <c r="A43" s="26">
        <v>46103</v>
      </c>
      <c r="B43" s="1" t="s">
        <v>78</v>
      </c>
      <c r="C43" s="33">
        <v>2</v>
      </c>
      <c r="D43" s="28" t="s">
        <v>52</v>
      </c>
      <c r="E43" s="33">
        <v>7</v>
      </c>
      <c r="F43" s="28" t="s">
        <v>44</v>
      </c>
      <c r="G43" s="33">
        <v>0.69789999999999996</v>
      </c>
      <c r="H43" s="1">
        <v>1</v>
      </c>
      <c r="I43" s="27">
        <f t="shared" si="0"/>
        <v>0.35967945295903114</v>
      </c>
      <c r="J43" s="52">
        <v>1</v>
      </c>
      <c r="K43" s="1">
        <v>0</v>
      </c>
      <c r="L43" s="1" t="s">
        <v>52</v>
      </c>
      <c r="M43" s="1">
        <v>1</v>
      </c>
      <c r="N43" s="36">
        <v>20</v>
      </c>
    </row>
    <row r="44" spans="1:24">
      <c r="A44" s="26">
        <v>46103</v>
      </c>
      <c r="B44" s="1" t="s">
        <v>78</v>
      </c>
      <c r="C44" s="33">
        <v>4</v>
      </c>
      <c r="D44" s="28" t="s">
        <v>69</v>
      </c>
      <c r="E44" s="33">
        <v>5</v>
      </c>
      <c r="F44" s="28" t="s">
        <v>75</v>
      </c>
      <c r="G44" s="33">
        <v>0.42649999999999999</v>
      </c>
      <c r="H44" s="1">
        <v>0</v>
      </c>
      <c r="I44" s="27">
        <f t="shared" si="0"/>
        <v>0.5559973424127117</v>
      </c>
      <c r="J44" s="52">
        <v>1</v>
      </c>
      <c r="K44" s="1">
        <v>1</v>
      </c>
      <c r="L44" s="1" t="s">
        <v>75</v>
      </c>
      <c r="M44" s="1">
        <v>1</v>
      </c>
      <c r="N44" s="36">
        <v>20</v>
      </c>
      <c r="P44" s="18" t="s">
        <v>85</v>
      </c>
    </row>
    <row r="45" spans="1:24">
      <c r="A45" s="26">
        <v>46103</v>
      </c>
      <c r="B45" s="1" t="s">
        <v>78</v>
      </c>
      <c r="C45" s="33">
        <v>3</v>
      </c>
      <c r="D45" s="28" t="s">
        <v>50</v>
      </c>
      <c r="E45" s="33">
        <v>6</v>
      </c>
      <c r="F45" s="28" t="s">
        <v>58</v>
      </c>
      <c r="G45" s="33">
        <v>0.43940000000000001</v>
      </c>
      <c r="H45" s="1">
        <v>0</v>
      </c>
      <c r="I45" s="27">
        <f t="shared" si="0"/>
        <v>0.5787476402514492</v>
      </c>
      <c r="J45" s="52">
        <v>1</v>
      </c>
      <c r="K45" s="1">
        <v>1</v>
      </c>
      <c r="L45" s="1" t="s">
        <v>58</v>
      </c>
      <c r="M45" s="1">
        <v>1</v>
      </c>
      <c r="N45" s="36">
        <v>20</v>
      </c>
      <c r="P45" s="1" t="s">
        <v>86</v>
      </c>
      <c r="Q45" s="1" t="s">
        <v>87</v>
      </c>
      <c r="R45" s="1" t="s">
        <v>88</v>
      </c>
      <c r="S45" s="1" t="s">
        <v>91</v>
      </c>
    </row>
    <row r="46" spans="1:24">
      <c r="A46" s="26">
        <v>46103</v>
      </c>
      <c r="B46" s="1" t="s">
        <v>78</v>
      </c>
      <c r="C46" s="33">
        <v>1</v>
      </c>
      <c r="D46" s="28" t="s">
        <v>68</v>
      </c>
      <c r="E46" s="33">
        <v>9</v>
      </c>
      <c r="F46" s="28" t="s">
        <v>60</v>
      </c>
      <c r="G46" s="33">
        <v>0.72389999999999999</v>
      </c>
      <c r="H46" s="1">
        <v>0</v>
      </c>
      <c r="I46" s="27">
        <f t="shared" si="0"/>
        <v>1.2869921600460283</v>
      </c>
      <c r="J46" s="52">
        <v>1</v>
      </c>
      <c r="K46" s="1">
        <v>1</v>
      </c>
      <c r="L46" s="1" t="s">
        <v>68</v>
      </c>
      <c r="M46" s="1">
        <v>0</v>
      </c>
      <c r="N46" s="36">
        <v>0</v>
      </c>
      <c r="P46" s="1" t="s">
        <v>29</v>
      </c>
      <c r="Q46" s="1">
        <v>8</v>
      </c>
      <c r="R46" s="1">
        <v>32</v>
      </c>
      <c r="S46" s="1">
        <v>60</v>
      </c>
      <c r="V46" s="63" t="s">
        <v>0</v>
      </c>
      <c r="W46" s="63" t="s">
        <v>121</v>
      </c>
      <c r="X46" s="63" t="s">
        <v>126</v>
      </c>
    </row>
    <row r="47" spans="1:24">
      <c r="A47" s="26">
        <v>46103</v>
      </c>
      <c r="B47" s="1" t="s">
        <v>78</v>
      </c>
      <c r="C47" s="33">
        <v>1</v>
      </c>
      <c r="D47" s="28" t="s">
        <v>48</v>
      </c>
      <c r="E47" s="33">
        <v>9</v>
      </c>
      <c r="F47" s="28" t="s">
        <v>57</v>
      </c>
      <c r="G47" s="33">
        <v>0.85770000000000002</v>
      </c>
      <c r="H47" s="1">
        <v>1</v>
      </c>
      <c r="I47" s="27">
        <f t="shared" si="0"/>
        <v>0.15350089098576122</v>
      </c>
      <c r="J47" s="52">
        <v>1</v>
      </c>
      <c r="K47" s="1">
        <v>0</v>
      </c>
      <c r="L47" s="1" t="s">
        <v>48</v>
      </c>
      <c r="M47" s="1">
        <v>1</v>
      </c>
      <c r="N47" s="36">
        <v>20</v>
      </c>
      <c r="P47" s="1" t="s">
        <v>89</v>
      </c>
      <c r="Q47" s="1">
        <v>2</v>
      </c>
      <c r="R47" s="1">
        <v>16</v>
      </c>
      <c r="S47" s="1">
        <f>40 + 80 + 160</f>
        <v>280</v>
      </c>
      <c r="V47" s="64" t="s">
        <v>13</v>
      </c>
      <c r="W47" s="64">
        <v>32</v>
      </c>
      <c r="X47" s="64">
        <v>10</v>
      </c>
    </row>
    <row r="48" spans="1:24">
      <c r="A48" s="26">
        <v>46103</v>
      </c>
      <c r="B48" s="1" t="s">
        <v>78</v>
      </c>
      <c r="C48" s="33">
        <v>2</v>
      </c>
      <c r="D48" s="28" t="s">
        <v>74</v>
      </c>
      <c r="E48" s="33">
        <v>7</v>
      </c>
      <c r="F48" s="28" t="s">
        <v>64</v>
      </c>
      <c r="G48" s="45">
        <v>0.54420000000000002</v>
      </c>
      <c r="H48" s="1">
        <v>1</v>
      </c>
      <c r="I48" s="54">
        <f t="shared" si="0"/>
        <v>0.60843845263299112</v>
      </c>
      <c r="J48" s="52">
        <v>0</v>
      </c>
      <c r="K48" s="1">
        <v>0</v>
      </c>
      <c r="L48" s="1" t="s">
        <v>74</v>
      </c>
      <c r="M48" s="1">
        <v>1</v>
      </c>
      <c r="N48" s="36">
        <v>20</v>
      </c>
      <c r="V48" s="59" t="s">
        <v>78</v>
      </c>
      <c r="W48" s="59">
        <v>16</v>
      </c>
      <c r="X48" s="59">
        <v>20</v>
      </c>
    </row>
    <row r="49" spans="1:24">
      <c r="A49" s="29">
        <v>46103</v>
      </c>
      <c r="B49" s="5" t="s">
        <v>78</v>
      </c>
      <c r="C49" s="34">
        <v>4</v>
      </c>
      <c r="D49" s="31" t="s">
        <v>54</v>
      </c>
      <c r="E49" s="34">
        <v>5</v>
      </c>
      <c r="F49" s="31" t="s">
        <v>46</v>
      </c>
      <c r="G49" s="34">
        <v>0.53669999999999995</v>
      </c>
      <c r="H49" s="5">
        <v>1</v>
      </c>
      <c r="I49" s="30">
        <f t="shared" si="0"/>
        <v>0.62231599979935392</v>
      </c>
      <c r="J49" s="53">
        <v>1</v>
      </c>
      <c r="K49" s="5">
        <v>0</v>
      </c>
      <c r="L49" s="5" t="s">
        <v>54</v>
      </c>
      <c r="M49" s="5">
        <v>1</v>
      </c>
      <c r="N49" s="37">
        <v>20</v>
      </c>
      <c r="P49" s="1" t="s">
        <v>64</v>
      </c>
      <c r="Q49" s="1">
        <v>64</v>
      </c>
      <c r="R49" s="1">
        <v>32</v>
      </c>
      <c r="S49" s="1">
        <v>10</v>
      </c>
      <c r="V49" s="64" t="s">
        <v>122</v>
      </c>
      <c r="W49" s="64">
        <v>8</v>
      </c>
      <c r="X49" s="64">
        <v>40</v>
      </c>
    </row>
    <row r="50" spans="1:24">
      <c r="A50" s="22">
        <v>46107</v>
      </c>
      <c r="B50" s="23" t="s">
        <v>82</v>
      </c>
      <c r="C50" s="32">
        <v>2</v>
      </c>
      <c r="D50" s="25" t="s">
        <v>66</v>
      </c>
      <c r="E50" s="32">
        <v>11</v>
      </c>
      <c r="F50" s="25" t="s">
        <v>6</v>
      </c>
      <c r="G50" s="47">
        <v>0.68769999999999998</v>
      </c>
      <c r="H50" s="23">
        <v>1</v>
      </c>
      <c r="I50" s="55">
        <f t="shared" si="0"/>
        <v>0.37440258265634663</v>
      </c>
      <c r="J50" s="51">
        <v>0</v>
      </c>
      <c r="K50" s="32">
        <v>0</v>
      </c>
      <c r="L50" s="23" t="s">
        <v>66</v>
      </c>
      <c r="M50" s="23">
        <v>1</v>
      </c>
      <c r="N50" s="35">
        <v>40</v>
      </c>
      <c r="P50" s="1" t="s">
        <v>25</v>
      </c>
      <c r="Q50" s="1">
        <v>64</v>
      </c>
      <c r="R50" s="1">
        <v>32</v>
      </c>
      <c r="S50" s="1">
        <v>10</v>
      </c>
      <c r="V50" s="59" t="s">
        <v>123</v>
      </c>
      <c r="W50" s="59">
        <v>4</v>
      </c>
      <c r="X50" s="59">
        <v>80</v>
      </c>
    </row>
    <row r="51" spans="1:24">
      <c r="A51" s="26">
        <v>46107</v>
      </c>
      <c r="B51" s="1" t="s">
        <v>82</v>
      </c>
      <c r="C51" s="33">
        <v>4</v>
      </c>
      <c r="D51" s="28" t="s">
        <v>20</v>
      </c>
      <c r="E51" s="33">
        <v>9</v>
      </c>
      <c r="F51" s="28" t="s">
        <v>60</v>
      </c>
      <c r="G51" s="45">
        <v>0.62870000000000004</v>
      </c>
      <c r="H51" s="1">
        <v>0</v>
      </c>
      <c r="I51" s="54">
        <f t="shared" si="0"/>
        <v>0.99074491779910279</v>
      </c>
      <c r="J51" s="52">
        <v>0</v>
      </c>
      <c r="K51" s="33">
        <v>1</v>
      </c>
      <c r="L51" s="1" t="s">
        <v>29</v>
      </c>
      <c r="M51" s="1">
        <v>0</v>
      </c>
      <c r="N51" s="36">
        <v>0</v>
      </c>
      <c r="P51" s="1" t="s">
        <v>22</v>
      </c>
      <c r="Q51" s="1">
        <v>64</v>
      </c>
      <c r="R51" s="1">
        <v>32</v>
      </c>
      <c r="S51" s="1">
        <v>10</v>
      </c>
      <c r="V51" s="64" t="s">
        <v>124</v>
      </c>
      <c r="W51" s="64">
        <v>2</v>
      </c>
      <c r="X51" s="64">
        <v>160</v>
      </c>
    </row>
    <row r="52" spans="1:24">
      <c r="A52" s="26">
        <v>46107</v>
      </c>
      <c r="B52" s="1" t="s">
        <v>82</v>
      </c>
      <c r="C52" s="33">
        <v>1</v>
      </c>
      <c r="D52" s="28" t="s">
        <v>48</v>
      </c>
      <c r="E52" s="33">
        <v>4</v>
      </c>
      <c r="F52" s="28" t="s">
        <v>32</v>
      </c>
      <c r="G52" s="33">
        <v>0.60070000000000001</v>
      </c>
      <c r="H52" s="1">
        <v>1</v>
      </c>
      <c r="I52" s="27">
        <f t="shared" si="0"/>
        <v>0.50965963712602125</v>
      </c>
      <c r="J52" s="52">
        <v>1</v>
      </c>
      <c r="K52" s="33">
        <v>0</v>
      </c>
      <c r="L52" s="1" t="s">
        <v>48</v>
      </c>
      <c r="M52" s="1">
        <v>1</v>
      </c>
      <c r="N52" s="36">
        <v>40</v>
      </c>
      <c r="V52" s="59" t="s">
        <v>125</v>
      </c>
      <c r="W52" s="59">
        <v>1</v>
      </c>
      <c r="X52" s="59">
        <v>320</v>
      </c>
    </row>
    <row r="53" spans="1:24">
      <c r="A53" s="29">
        <v>46107</v>
      </c>
      <c r="B53" s="5" t="s">
        <v>82</v>
      </c>
      <c r="C53" s="34">
        <v>2</v>
      </c>
      <c r="D53" s="31" t="s">
        <v>15</v>
      </c>
      <c r="E53" s="34">
        <v>3</v>
      </c>
      <c r="F53" s="31" t="s">
        <v>41</v>
      </c>
      <c r="G53" s="34">
        <v>0.52310000000000001</v>
      </c>
      <c r="H53" s="5">
        <v>0</v>
      </c>
      <c r="I53" s="30">
        <f t="shared" si="0"/>
        <v>0.74044845367795842</v>
      </c>
      <c r="J53" s="53">
        <v>1</v>
      </c>
      <c r="K53" s="34">
        <v>1</v>
      </c>
      <c r="L53" s="5" t="s">
        <v>15</v>
      </c>
      <c r="M53" s="5">
        <v>0</v>
      </c>
      <c r="N53" s="37">
        <v>0</v>
      </c>
      <c r="P53" s="1" t="s">
        <v>6</v>
      </c>
      <c r="Q53" s="1">
        <v>32</v>
      </c>
      <c r="R53" s="1">
        <v>16</v>
      </c>
      <c r="S53" s="1">
        <v>20</v>
      </c>
    </row>
    <row r="54" spans="1:24">
      <c r="A54" s="26">
        <v>46108</v>
      </c>
      <c r="B54" s="1" t="s">
        <v>82</v>
      </c>
      <c r="C54" s="33">
        <v>1</v>
      </c>
      <c r="D54" s="28" t="s">
        <v>26</v>
      </c>
      <c r="E54" s="33">
        <v>5</v>
      </c>
      <c r="F54" s="28" t="s">
        <v>75</v>
      </c>
      <c r="G54" s="33">
        <v>0.63660000000000005</v>
      </c>
      <c r="H54" s="1">
        <v>1</v>
      </c>
      <c r="I54" s="27">
        <f t="shared" si="0"/>
        <v>0.4516137641341445</v>
      </c>
      <c r="J54" s="52">
        <v>1</v>
      </c>
      <c r="K54" s="33">
        <v>0</v>
      </c>
      <c r="L54" s="1" t="s">
        <v>26</v>
      </c>
      <c r="M54" s="1">
        <v>1</v>
      </c>
      <c r="N54" s="35">
        <v>40</v>
      </c>
      <c r="P54" s="1" t="s">
        <v>60</v>
      </c>
      <c r="Q54" s="1">
        <v>32</v>
      </c>
      <c r="R54" s="1">
        <v>8</v>
      </c>
      <c r="S54" s="1">
        <v>60</v>
      </c>
    </row>
    <row r="55" spans="1:24">
      <c r="A55" s="26">
        <v>46108</v>
      </c>
      <c r="B55" s="1" t="s">
        <v>82</v>
      </c>
      <c r="C55" s="33">
        <v>1</v>
      </c>
      <c r="D55" s="28" t="s">
        <v>36</v>
      </c>
      <c r="E55" s="33">
        <v>4</v>
      </c>
      <c r="F55" s="28" t="s">
        <v>54</v>
      </c>
      <c r="G55" s="33">
        <v>0.64549999999999996</v>
      </c>
      <c r="H55" s="1">
        <v>1</v>
      </c>
      <c r="I55" s="27">
        <f t="shared" si="0"/>
        <v>0.4377300686954399</v>
      </c>
      <c r="J55" s="52">
        <v>1</v>
      </c>
      <c r="K55" s="33">
        <v>0</v>
      </c>
      <c r="L55" s="1" t="s">
        <v>36</v>
      </c>
      <c r="M55" s="1">
        <v>1</v>
      </c>
      <c r="N55" s="36">
        <v>40</v>
      </c>
    </row>
    <row r="56" spans="1:24">
      <c r="A56" s="26">
        <v>46108</v>
      </c>
      <c r="B56" s="1" t="s">
        <v>82</v>
      </c>
      <c r="C56" s="33">
        <v>2</v>
      </c>
      <c r="D56" s="28" t="s">
        <v>74</v>
      </c>
      <c r="E56" s="33">
        <v>3</v>
      </c>
      <c r="F56" s="28" t="s">
        <v>30</v>
      </c>
      <c r="G56" s="33">
        <v>0.44340000000000002</v>
      </c>
      <c r="H56" s="1">
        <v>1</v>
      </c>
      <c r="I56" s="27">
        <f t="shared" si="0"/>
        <v>0.81328298179992597</v>
      </c>
      <c r="J56" s="52">
        <v>1</v>
      </c>
      <c r="K56" s="33">
        <v>0</v>
      </c>
      <c r="L56" s="1" t="s">
        <v>30</v>
      </c>
      <c r="M56" s="1">
        <v>0</v>
      </c>
      <c r="N56" s="36">
        <v>0</v>
      </c>
    </row>
    <row r="57" spans="1:24">
      <c r="A57" s="29">
        <v>46108</v>
      </c>
      <c r="B57" s="5" t="s">
        <v>82</v>
      </c>
      <c r="C57" s="34">
        <v>2</v>
      </c>
      <c r="D57" s="31" t="s">
        <v>52</v>
      </c>
      <c r="E57" s="34">
        <v>6</v>
      </c>
      <c r="F57" s="31" t="s">
        <v>58</v>
      </c>
      <c r="G57" s="34">
        <v>0.62660000000000005</v>
      </c>
      <c r="H57" s="5">
        <v>0</v>
      </c>
      <c r="I57" s="30">
        <f t="shared" si="0"/>
        <v>0.98510504787451492</v>
      </c>
      <c r="J57" s="53">
        <v>1</v>
      </c>
      <c r="K57" s="34">
        <v>1</v>
      </c>
      <c r="L57" s="5" t="s">
        <v>52</v>
      </c>
      <c r="M57" s="5">
        <v>0</v>
      </c>
      <c r="N57" s="37">
        <v>0</v>
      </c>
    </row>
    <row r="58" spans="1:24">
      <c r="A58" s="22">
        <v>46109</v>
      </c>
      <c r="B58" s="23" t="s">
        <v>90</v>
      </c>
      <c r="C58" s="32">
        <v>3</v>
      </c>
      <c r="D58" s="25" t="s">
        <v>41</v>
      </c>
      <c r="E58" s="32">
        <v>9</v>
      </c>
      <c r="F58" s="25" t="s">
        <v>60</v>
      </c>
      <c r="G58" s="47">
        <v>0.61760000000000004</v>
      </c>
      <c r="H58" s="23">
        <v>1</v>
      </c>
      <c r="I58" s="55">
        <f t="shared" si="0"/>
        <v>0.48191428027157057</v>
      </c>
      <c r="J58" s="51">
        <v>0</v>
      </c>
      <c r="K58" s="23">
        <v>0</v>
      </c>
      <c r="L58" s="23" t="s">
        <v>15</v>
      </c>
      <c r="M58" s="23">
        <v>0</v>
      </c>
      <c r="N58" s="35">
        <v>0</v>
      </c>
    </row>
    <row r="59" spans="1:24">
      <c r="A59" s="29">
        <v>46109</v>
      </c>
      <c r="B59" s="5" t="s">
        <v>90</v>
      </c>
      <c r="C59" s="34">
        <v>1</v>
      </c>
      <c r="D59" s="31" t="s">
        <v>48</v>
      </c>
      <c r="E59" s="34">
        <v>2</v>
      </c>
      <c r="F59" s="31" t="s">
        <v>66</v>
      </c>
      <c r="G59" s="34">
        <v>0.54859999999999998</v>
      </c>
      <c r="H59" s="5">
        <v>1</v>
      </c>
      <c r="I59" s="30">
        <f t="shared" si="0"/>
        <v>0.60038570047863427</v>
      </c>
      <c r="J59" s="53">
        <v>1</v>
      </c>
      <c r="K59" s="5">
        <v>0</v>
      </c>
      <c r="L59" s="5" t="s">
        <v>48</v>
      </c>
      <c r="M59" s="5">
        <v>1</v>
      </c>
      <c r="N59" s="37">
        <v>80</v>
      </c>
      <c r="P59" s="1" t="s">
        <v>102</v>
      </c>
      <c r="Q59" s="1" t="s">
        <v>94</v>
      </c>
      <c r="R59" s="1" t="s">
        <v>92</v>
      </c>
    </row>
    <row r="60" spans="1:24">
      <c r="A60" s="26">
        <v>46110</v>
      </c>
      <c r="B60" s="1" t="s">
        <v>90</v>
      </c>
      <c r="C60" s="33">
        <v>1</v>
      </c>
      <c r="D60" s="28" t="s">
        <v>36</v>
      </c>
      <c r="E60" s="33">
        <v>6</v>
      </c>
      <c r="F60" s="28" t="s">
        <v>58</v>
      </c>
      <c r="G60" s="45">
        <v>0.73909999999999998</v>
      </c>
      <c r="H60" s="1">
        <v>1</v>
      </c>
      <c r="I60" s="54">
        <f t="shared" si="0"/>
        <v>0.30232204919129602</v>
      </c>
      <c r="J60" s="52">
        <v>0</v>
      </c>
      <c r="K60" s="1">
        <v>0</v>
      </c>
      <c r="L60" s="1" t="s">
        <v>36</v>
      </c>
      <c r="M60" s="1">
        <v>1</v>
      </c>
      <c r="N60" s="36">
        <v>80</v>
      </c>
      <c r="P60" s="60" t="s">
        <v>103</v>
      </c>
      <c r="Q60" s="1" t="s">
        <v>93</v>
      </c>
      <c r="R60" s="1">
        <v>1920</v>
      </c>
    </row>
    <row r="61" spans="1:24">
      <c r="A61" s="29">
        <v>46110</v>
      </c>
      <c r="B61" s="5" t="s">
        <v>90</v>
      </c>
      <c r="C61" s="34">
        <v>1</v>
      </c>
      <c r="D61" s="31" t="s">
        <v>26</v>
      </c>
      <c r="E61" s="34">
        <v>2</v>
      </c>
      <c r="F61" s="31" t="s">
        <v>74</v>
      </c>
      <c r="G61" s="46">
        <v>0.76090000000000002</v>
      </c>
      <c r="H61" s="5">
        <v>0</v>
      </c>
      <c r="I61" s="48">
        <f t="shared" si="0"/>
        <v>1.4308734045178582</v>
      </c>
      <c r="J61" s="53">
        <v>0</v>
      </c>
      <c r="K61" s="5">
        <v>1</v>
      </c>
      <c r="L61" s="5" t="s">
        <v>26</v>
      </c>
      <c r="M61" s="5">
        <v>0</v>
      </c>
      <c r="N61" s="37">
        <v>0</v>
      </c>
      <c r="P61" s="1">
        <v>99.9</v>
      </c>
      <c r="Q61" s="1">
        <v>64</v>
      </c>
      <c r="R61" s="1">
        <v>1890</v>
      </c>
      <c r="S61" s="38" t="s">
        <v>95</v>
      </c>
    </row>
    <row r="62" spans="1:24">
      <c r="A62" s="22">
        <v>46116</v>
      </c>
      <c r="B62" s="23" t="s">
        <v>99</v>
      </c>
      <c r="C62" s="32">
        <v>1</v>
      </c>
      <c r="D62" s="25" t="s">
        <v>36</v>
      </c>
      <c r="E62" s="32">
        <v>1</v>
      </c>
      <c r="F62" s="25" t="s">
        <v>48</v>
      </c>
      <c r="G62" s="32">
        <v>0.56089999999999995</v>
      </c>
      <c r="H62" s="23">
        <v>1</v>
      </c>
      <c r="I62" s="24">
        <f t="shared" si="0"/>
        <v>0.57821264246784587</v>
      </c>
      <c r="J62" s="25">
        <v>1</v>
      </c>
      <c r="K62" s="23">
        <v>0</v>
      </c>
      <c r="L62" s="23" t="s">
        <v>36</v>
      </c>
      <c r="M62" s="23">
        <v>1</v>
      </c>
      <c r="N62" s="35">
        <v>160</v>
      </c>
      <c r="P62" s="1">
        <v>99.9</v>
      </c>
      <c r="Q62" s="1">
        <v>32</v>
      </c>
      <c r="R62" s="1">
        <v>1790</v>
      </c>
      <c r="S62" s="38" t="s">
        <v>96</v>
      </c>
    </row>
    <row r="63" spans="1:24">
      <c r="A63" s="29">
        <v>46116</v>
      </c>
      <c r="B63" s="5" t="s">
        <v>99</v>
      </c>
      <c r="C63" s="34">
        <v>2</v>
      </c>
      <c r="D63" s="31" t="s">
        <v>74</v>
      </c>
      <c r="E63" s="34">
        <v>3</v>
      </c>
      <c r="F63" s="31" t="s">
        <v>41</v>
      </c>
      <c r="G63" s="46">
        <v>0.42109999999999997</v>
      </c>
      <c r="H63" s="5">
        <v>1</v>
      </c>
      <c r="I63" s="48">
        <f t="shared" si="0"/>
        <v>0.86488494381425507</v>
      </c>
      <c r="J63" s="31">
        <v>0</v>
      </c>
      <c r="K63" s="5">
        <v>0</v>
      </c>
      <c r="L63" s="5" t="s">
        <v>15</v>
      </c>
      <c r="M63" s="5">
        <v>0</v>
      </c>
      <c r="N63" s="37">
        <v>0</v>
      </c>
      <c r="P63" s="1">
        <v>97.1</v>
      </c>
      <c r="Q63" s="1">
        <v>16</v>
      </c>
      <c r="R63" s="1">
        <v>1430</v>
      </c>
      <c r="S63" s="38" t="s">
        <v>98</v>
      </c>
    </row>
    <row r="64" spans="1:24">
      <c r="A64" s="61">
        <v>46118</v>
      </c>
      <c r="B64" s="57" t="s">
        <v>100</v>
      </c>
      <c r="C64" s="56">
        <v>1</v>
      </c>
      <c r="D64" s="58" t="s">
        <v>36</v>
      </c>
      <c r="E64" s="57">
        <v>2</v>
      </c>
      <c r="F64" s="57" t="s">
        <v>74</v>
      </c>
      <c r="G64" s="62">
        <v>0.73860000000000003</v>
      </c>
      <c r="H64" s="57">
        <v>1</v>
      </c>
      <c r="I64" s="48">
        <f t="shared" si="0"/>
        <v>0.30299877656367419</v>
      </c>
      <c r="J64" s="58">
        <v>0</v>
      </c>
      <c r="K64" s="57">
        <v>0</v>
      </c>
      <c r="L64" s="57" t="s">
        <v>36</v>
      </c>
      <c r="M64" s="57">
        <v>1</v>
      </c>
      <c r="N64" s="59">
        <v>320</v>
      </c>
      <c r="P64" s="1">
        <v>94.5</v>
      </c>
      <c r="Q64" s="1">
        <v>8</v>
      </c>
      <c r="R64" s="1">
        <v>1350</v>
      </c>
      <c r="S64" s="38" t="s">
        <v>101</v>
      </c>
    </row>
    <row r="65" spans="16:29">
      <c r="P65" s="1">
        <v>95.8</v>
      </c>
      <c r="Q65" s="1">
        <v>4</v>
      </c>
      <c r="R65" s="1">
        <v>1350</v>
      </c>
    </row>
    <row r="66" spans="16:29">
      <c r="P66" s="1">
        <v>98.2</v>
      </c>
      <c r="Q66" s="1">
        <v>2</v>
      </c>
      <c r="R66" s="1">
        <v>1350</v>
      </c>
    </row>
    <row r="68" spans="16:29">
      <c r="P68" s="1" t="s">
        <v>104</v>
      </c>
      <c r="Q68" s="1" t="s">
        <v>105</v>
      </c>
    </row>
    <row r="71" spans="16:29">
      <c r="P71" s="1" t="s">
        <v>106</v>
      </c>
    </row>
    <row r="72" spans="16:29">
      <c r="P72" s="1" t="s">
        <v>109</v>
      </c>
      <c r="Q72" s="1" t="s">
        <v>111</v>
      </c>
      <c r="R72" s="1" t="s">
        <v>108</v>
      </c>
    </row>
    <row r="73" spans="16:29">
      <c r="P73" s="1" t="s">
        <v>110</v>
      </c>
      <c r="Q73" s="1">
        <v>135</v>
      </c>
      <c r="R73" s="1">
        <v>2</v>
      </c>
    </row>
    <row r="74" spans="16:29">
      <c r="P74" s="1" t="s">
        <v>112</v>
      </c>
      <c r="Q74" s="1">
        <v>50</v>
      </c>
      <c r="R74" s="1">
        <v>1</v>
      </c>
      <c r="U74" s="63" t="s">
        <v>127</v>
      </c>
      <c r="V74" s="63" t="s">
        <v>77</v>
      </c>
      <c r="W74" s="63" t="s">
        <v>128</v>
      </c>
      <c r="X74" s="63" t="s">
        <v>130</v>
      </c>
      <c r="Z74" s="65"/>
      <c r="AA74" s="65"/>
      <c r="AB74" s="65"/>
      <c r="AC74" s="65"/>
    </row>
    <row r="75" spans="16:29">
      <c r="U75" s="64">
        <v>2024</v>
      </c>
      <c r="V75" s="64">
        <v>1080</v>
      </c>
      <c r="W75" s="64">
        <v>81</v>
      </c>
      <c r="X75" s="64" t="s">
        <v>129</v>
      </c>
    </row>
    <row r="76" spans="16:29">
      <c r="P76" s="1" t="s">
        <v>80</v>
      </c>
      <c r="Q76" s="1" t="s">
        <v>107</v>
      </c>
      <c r="R76" s="1" t="s">
        <v>108</v>
      </c>
      <c r="S76" s="1" t="s">
        <v>120</v>
      </c>
      <c r="U76" s="59">
        <v>2025</v>
      </c>
      <c r="V76" s="59">
        <v>810</v>
      </c>
      <c r="W76" s="59">
        <v>40</v>
      </c>
      <c r="X76" s="59" t="s">
        <v>131</v>
      </c>
    </row>
    <row r="77" spans="16:29">
      <c r="P77" s="1">
        <v>64</v>
      </c>
      <c r="Q77" s="1">
        <v>29</v>
      </c>
      <c r="R77" s="1" t="s">
        <v>116</v>
      </c>
      <c r="S77" s="1">
        <f>75/75</f>
        <v>1</v>
      </c>
      <c r="U77" s="64">
        <v>2026</v>
      </c>
      <c r="V77" s="64">
        <v>1350</v>
      </c>
      <c r="W77" s="64">
        <v>98</v>
      </c>
      <c r="X77" s="64" t="s">
        <v>129</v>
      </c>
    </row>
    <row r="78" spans="16:29">
      <c r="P78" s="1">
        <v>32</v>
      </c>
      <c r="Q78" s="1">
        <v>26</v>
      </c>
      <c r="R78" s="1" t="s">
        <v>118</v>
      </c>
      <c r="S78" s="1">
        <f>74/75</f>
        <v>0.98666666666666669</v>
      </c>
    </row>
    <row r="79" spans="16:29">
      <c r="P79" s="1">
        <v>16</v>
      </c>
      <c r="Q79" s="1">
        <v>16</v>
      </c>
      <c r="R79" s="1" t="s">
        <v>115</v>
      </c>
      <c r="S79" s="1">
        <f>50/75</f>
        <v>0.66666666666666663</v>
      </c>
    </row>
    <row r="80" spans="16:29">
      <c r="P80" s="1">
        <v>8</v>
      </c>
      <c r="Q80" s="1">
        <v>16</v>
      </c>
      <c r="R80" s="1" t="s">
        <v>114</v>
      </c>
      <c r="S80" s="1">
        <f>68/75</f>
        <v>0.90666666666666662</v>
      </c>
    </row>
    <row r="81" spans="16:26">
      <c r="P81" s="1">
        <v>4</v>
      </c>
      <c r="Q81" s="1">
        <v>16</v>
      </c>
      <c r="R81" s="1" t="s">
        <v>113</v>
      </c>
      <c r="S81" s="1">
        <f>74/75</f>
        <v>0.98666666666666669</v>
      </c>
      <c r="U81" s="1" t="s">
        <v>134</v>
      </c>
      <c r="V81" s="1">
        <v>2025</v>
      </c>
      <c r="W81" s="1">
        <v>2026</v>
      </c>
    </row>
    <row r="82" spans="16:26">
      <c r="P82" s="1">
        <v>2</v>
      </c>
      <c r="Q82" s="1">
        <v>32</v>
      </c>
      <c r="R82" s="1" t="s">
        <v>113</v>
      </c>
      <c r="S82" s="1">
        <f>74/75</f>
        <v>0.98666666666666669</v>
      </c>
      <c r="U82" s="1" t="s">
        <v>77</v>
      </c>
      <c r="V82" s="1" t="s">
        <v>135</v>
      </c>
      <c r="W82" s="1" t="s">
        <v>118</v>
      </c>
    </row>
    <row r="83" spans="16:26">
      <c r="P83" s="1" t="s">
        <v>117</v>
      </c>
      <c r="Q83" s="1">
        <v>135</v>
      </c>
      <c r="R83" s="1" t="s">
        <v>118</v>
      </c>
      <c r="S83" s="1">
        <f>74/75</f>
        <v>0.98666666666666669</v>
      </c>
      <c r="U83" s="1" t="s">
        <v>136</v>
      </c>
      <c r="V83" s="1" t="s">
        <v>137</v>
      </c>
      <c r="W83" s="1" t="s">
        <v>116</v>
      </c>
    </row>
    <row r="84" spans="16:26">
      <c r="U84" s="1" t="s">
        <v>138</v>
      </c>
      <c r="V84" s="1" t="s">
        <v>131</v>
      </c>
      <c r="W84" s="1" t="s">
        <v>139</v>
      </c>
    </row>
    <row r="86" spans="16:26">
      <c r="P86" s="1" t="s">
        <v>132</v>
      </c>
      <c r="U86" s="1" t="s">
        <v>134</v>
      </c>
      <c r="V86" s="1">
        <v>2025</v>
      </c>
      <c r="W86" s="1">
        <v>2026</v>
      </c>
    </row>
    <row r="87" spans="16:26">
      <c r="P87" s="1" t="s">
        <v>109</v>
      </c>
      <c r="Q87" s="1" t="s">
        <v>111</v>
      </c>
      <c r="R87" s="1" t="s">
        <v>133</v>
      </c>
      <c r="U87" s="1" t="s">
        <v>77</v>
      </c>
      <c r="V87" s="1">
        <f>1 - 63/77</f>
        <v>0.18181818181818177</v>
      </c>
      <c r="W87" s="1">
        <f>1 - 1/75</f>
        <v>0.98666666666666669</v>
      </c>
    </row>
    <row r="88" spans="16:26">
      <c r="P88" s="1" t="s">
        <v>110</v>
      </c>
      <c r="Q88" s="1">
        <v>81</v>
      </c>
      <c r="R88" s="1">
        <v>64</v>
      </c>
      <c r="U88" s="1" t="s">
        <v>136</v>
      </c>
      <c r="V88" s="1">
        <f>1 - 49/77</f>
        <v>0.36363636363636365</v>
      </c>
      <c r="W88" s="1">
        <f>1 - 0/75</f>
        <v>1</v>
      </c>
    </row>
    <row r="89" spans="16:26">
      <c r="P89" s="1" t="s">
        <v>112</v>
      </c>
      <c r="Q89" s="1">
        <v>43</v>
      </c>
      <c r="R89" s="1">
        <v>50</v>
      </c>
    </row>
    <row r="93" spans="16:26">
      <c r="R93" s="63" t="s">
        <v>158</v>
      </c>
      <c r="S93" s="63" t="s">
        <v>157</v>
      </c>
      <c r="T93" s="63" t="s">
        <v>159</v>
      </c>
      <c r="U93" s="63" t="s">
        <v>160</v>
      </c>
      <c r="V93" s="66"/>
      <c r="W93" s="66"/>
      <c r="X93" s="66"/>
      <c r="Z93"/>
    </row>
    <row r="94" spans="16:26" ht="19">
      <c r="P94" s="69"/>
      <c r="Q94" s="70"/>
      <c r="R94" s="64" t="s">
        <v>140</v>
      </c>
      <c r="S94" s="64" t="s">
        <v>141</v>
      </c>
      <c r="T94" s="64">
        <v>0.85770000000000002</v>
      </c>
      <c r="U94" s="64">
        <v>1.9498</v>
      </c>
      <c r="V94" s="67"/>
      <c r="W94" s="67"/>
      <c r="X94" s="66"/>
      <c r="Z94"/>
    </row>
    <row r="95" spans="16:26" ht="19">
      <c r="P95" s="69"/>
      <c r="Q95" s="70"/>
      <c r="R95" s="59" t="s">
        <v>142</v>
      </c>
      <c r="S95" s="59" t="s">
        <v>143</v>
      </c>
      <c r="T95" s="59">
        <v>0.76090000000000002</v>
      </c>
      <c r="U95" s="59">
        <v>1.4309000000000001</v>
      </c>
      <c r="V95" s="68"/>
      <c r="W95" s="68"/>
      <c r="X95" s="68"/>
      <c r="Z95" s="68"/>
    </row>
    <row r="96" spans="16:26" ht="19">
      <c r="P96" s="69"/>
      <c r="Q96" s="70"/>
      <c r="R96" s="64" t="s">
        <v>144</v>
      </c>
      <c r="S96" s="64" t="s">
        <v>145</v>
      </c>
      <c r="T96" s="64">
        <v>0.72750000000000004</v>
      </c>
      <c r="U96" s="64">
        <v>1.3002</v>
      </c>
      <c r="V96" s="68"/>
      <c r="W96" s="68"/>
      <c r="X96" s="68"/>
      <c r="Z96" s="68"/>
    </row>
    <row r="97" spans="16:28" ht="19">
      <c r="P97" s="69"/>
      <c r="Q97" s="70"/>
      <c r="R97" s="59" t="s">
        <v>146</v>
      </c>
      <c r="S97" s="59" t="s">
        <v>147</v>
      </c>
      <c r="T97" s="59">
        <v>0.72389999999999999</v>
      </c>
      <c r="U97" s="59">
        <v>1.2869999999999999</v>
      </c>
      <c r="V97" s="68"/>
      <c r="W97" s="68"/>
      <c r="X97" s="68"/>
      <c r="Y97" s="63" t="s">
        <v>161</v>
      </c>
      <c r="Z97" s="63" t="s">
        <v>166</v>
      </c>
      <c r="AA97" s="63" t="s">
        <v>167</v>
      </c>
      <c r="AB97" s="2"/>
    </row>
    <row r="98" spans="16:28" ht="19">
      <c r="P98" s="69"/>
      <c r="Q98" s="70"/>
      <c r="R98" s="64" t="s">
        <v>148</v>
      </c>
      <c r="S98" s="64" t="s">
        <v>149</v>
      </c>
      <c r="T98" s="64">
        <v>0.68410000000000004</v>
      </c>
      <c r="U98" s="64">
        <v>1.1523000000000001</v>
      </c>
      <c r="V98" s="68"/>
      <c r="W98" s="68"/>
      <c r="X98" s="68"/>
      <c r="Y98" s="64" t="s">
        <v>162</v>
      </c>
      <c r="Z98" s="71">
        <v>0.61699999999999999</v>
      </c>
      <c r="AA98" s="64" t="s">
        <v>168</v>
      </c>
      <c r="AB98" s="2"/>
    </row>
    <row r="99" spans="16:28" ht="19">
      <c r="P99" s="69"/>
      <c r="Q99" s="70"/>
      <c r="R99" s="59" t="s">
        <v>150</v>
      </c>
      <c r="S99" s="59" t="s">
        <v>149</v>
      </c>
      <c r="T99" s="59">
        <v>0.6512</v>
      </c>
      <c r="U99" s="59">
        <v>1.0532999999999999</v>
      </c>
      <c r="V99" s="68"/>
      <c r="W99" s="68"/>
      <c r="X99" s="68"/>
      <c r="Y99" s="59" t="s">
        <v>163</v>
      </c>
      <c r="Z99" s="72">
        <v>0.48299999999999998</v>
      </c>
      <c r="AA99" s="59" t="s">
        <v>168</v>
      </c>
      <c r="AB99" s="2"/>
    </row>
    <row r="100" spans="16:28" ht="19">
      <c r="P100" s="69"/>
      <c r="Q100" s="70"/>
      <c r="R100" s="64" t="s">
        <v>151</v>
      </c>
      <c r="S100" s="64" t="s">
        <v>147</v>
      </c>
      <c r="T100" s="64">
        <v>0.62870000000000004</v>
      </c>
      <c r="U100" s="64">
        <v>0.99070000000000003</v>
      </c>
      <c r="V100" s="68"/>
      <c r="W100" s="68"/>
      <c r="X100" s="68"/>
      <c r="Y100" s="64" t="s">
        <v>164</v>
      </c>
      <c r="Z100" s="71">
        <v>0.6</v>
      </c>
      <c r="AA100" s="64" t="s">
        <v>168</v>
      </c>
      <c r="AB100" s="2"/>
    </row>
    <row r="101" spans="16:28" ht="19">
      <c r="P101" s="69"/>
      <c r="Q101" s="70"/>
      <c r="R101" s="59" t="s">
        <v>152</v>
      </c>
      <c r="S101" s="59" t="s">
        <v>153</v>
      </c>
      <c r="T101" s="59">
        <v>0.62660000000000005</v>
      </c>
      <c r="U101" s="59">
        <v>0.98509999999999998</v>
      </c>
      <c r="V101" s="68"/>
      <c r="W101" s="68"/>
      <c r="X101" s="68"/>
      <c r="Y101" s="59" t="s">
        <v>165</v>
      </c>
      <c r="Z101" s="72">
        <v>0.51700000000000002</v>
      </c>
      <c r="AA101" s="59" t="s">
        <v>169</v>
      </c>
      <c r="AB101" s="2"/>
    </row>
    <row r="102" spans="16:28" ht="19">
      <c r="P102" s="69"/>
      <c r="Q102" s="70"/>
      <c r="R102" s="64" t="s">
        <v>143</v>
      </c>
      <c r="S102" s="64" t="s">
        <v>154</v>
      </c>
      <c r="T102" s="64">
        <v>0.42109999999999997</v>
      </c>
      <c r="U102" s="64">
        <v>0.8649</v>
      </c>
      <c r="V102" s="68"/>
      <c r="W102" s="68"/>
      <c r="X102" s="68"/>
      <c r="Y102" s="2"/>
      <c r="Z102" s="3"/>
      <c r="AA102" s="2"/>
      <c r="AB102" s="2"/>
    </row>
    <row r="103" spans="16:28" ht="19">
      <c r="P103" s="69"/>
      <c r="Q103" s="70"/>
      <c r="R103" s="59" t="s">
        <v>155</v>
      </c>
      <c r="S103" s="59" t="s">
        <v>156</v>
      </c>
      <c r="T103" s="59">
        <v>0.57750000000000001</v>
      </c>
      <c r="U103" s="59">
        <v>0.86150000000000004</v>
      </c>
      <c r="V103" s="68"/>
      <c r="W103" s="68"/>
      <c r="X103" s="68"/>
      <c r="Y103" s="2"/>
      <c r="Z103" s="3"/>
      <c r="AA103" s="2"/>
      <c r="AB103" s="2"/>
    </row>
    <row r="104" spans="16:28">
      <c r="P104" s="68"/>
      <c r="Q104" s="68"/>
      <c r="R104" s="68"/>
      <c r="S104" s="68"/>
      <c r="T104" s="68"/>
      <c r="U104" s="68"/>
      <c r="V104" s="68"/>
      <c r="W104" s="68"/>
      <c r="X104" s="68"/>
      <c r="Z104" s="68"/>
    </row>
    <row r="107" spans="16:28">
      <c r="R107" s="75" t="s">
        <v>205</v>
      </c>
      <c r="S107" s="75" t="s">
        <v>128</v>
      </c>
      <c r="T107" s="75" t="s">
        <v>77</v>
      </c>
    </row>
    <row r="108" spans="16:28">
      <c r="R108" s="64" t="s">
        <v>206</v>
      </c>
      <c r="S108" s="73">
        <v>40</v>
      </c>
      <c r="T108" s="64">
        <v>810</v>
      </c>
    </row>
    <row r="109" spans="16:28">
      <c r="R109" s="59" t="s">
        <v>207</v>
      </c>
      <c r="S109" s="74">
        <v>86</v>
      </c>
      <c r="T109" s="59">
        <v>1290</v>
      </c>
    </row>
    <row r="112" spans="16:28">
      <c r="R112" s="63" t="s">
        <v>216</v>
      </c>
      <c r="S112" s="63" t="s">
        <v>209</v>
      </c>
      <c r="T112" s="63" t="s">
        <v>210</v>
      </c>
    </row>
    <row r="113" spans="18:20">
      <c r="R113" s="64" t="s">
        <v>160</v>
      </c>
      <c r="S113" s="73">
        <v>0.53359999999999996</v>
      </c>
      <c r="T113" s="64">
        <v>0.51849999999999996</v>
      </c>
    </row>
    <row r="114" spans="18:20">
      <c r="R114" s="59" t="s">
        <v>211</v>
      </c>
      <c r="S114" s="72">
        <v>0.755</v>
      </c>
      <c r="T114" s="72">
        <v>0.76800000000000002</v>
      </c>
    </row>
    <row r="115" spans="18:20">
      <c r="R115" s="64" t="s">
        <v>212</v>
      </c>
      <c r="S115" s="71">
        <v>0.67800000000000005</v>
      </c>
      <c r="T115" s="71">
        <v>0.74</v>
      </c>
    </row>
    <row r="116" spans="18:20">
      <c r="R116" s="59" t="s">
        <v>213</v>
      </c>
      <c r="S116" s="72">
        <v>0.159</v>
      </c>
      <c r="T116" s="72">
        <v>0.19800000000000001</v>
      </c>
    </row>
    <row r="117" spans="18:20">
      <c r="R117" s="64" t="s">
        <v>214</v>
      </c>
      <c r="S117" s="71">
        <v>0.82699999999999996</v>
      </c>
      <c r="T117" s="71">
        <v>0.81599999999999995</v>
      </c>
    </row>
    <row r="118" spans="18:20">
      <c r="R118" s="59" t="s">
        <v>215</v>
      </c>
      <c r="S118" s="74">
        <v>0.81100000000000005</v>
      </c>
      <c r="T118" s="59">
        <v>0.82799999999999996</v>
      </c>
    </row>
    <row r="119" spans="18:20">
      <c r="R119" s="63" t="s">
        <v>217</v>
      </c>
      <c r="S119" s="63" t="s">
        <v>209</v>
      </c>
      <c r="T119" s="63" t="s">
        <v>210</v>
      </c>
    </row>
    <row r="120" spans="18:20">
      <c r="R120" s="64" t="s">
        <v>160</v>
      </c>
      <c r="S120" s="73">
        <v>0.61470000000000002</v>
      </c>
      <c r="T120" s="64">
        <v>0.48880000000000001</v>
      </c>
    </row>
    <row r="121" spans="18:20">
      <c r="R121" s="59" t="s">
        <v>211</v>
      </c>
      <c r="S121" s="72">
        <v>0.61899999999999999</v>
      </c>
      <c r="T121" s="72">
        <v>0.79400000000000004</v>
      </c>
    </row>
    <row r="122" spans="18:20">
      <c r="R122" s="64" t="s">
        <v>212</v>
      </c>
      <c r="S122" s="71">
        <v>0.72699999999999998</v>
      </c>
      <c r="T122" s="71">
        <v>0.872</v>
      </c>
    </row>
    <row r="123" spans="18:20">
      <c r="R123" s="59" t="s">
        <v>213</v>
      </c>
      <c r="S123" s="72">
        <v>0.42899999999999999</v>
      </c>
      <c r="T123" s="72">
        <v>0.375</v>
      </c>
    </row>
    <row r="124" spans="18:20">
      <c r="R124" s="64" t="s">
        <v>214</v>
      </c>
      <c r="S124" s="71">
        <v>0.72699999999999998</v>
      </c>
      <c r="T124" s="71">
        <v>0.872</v>
      </c>
    </row>
    <row r="125" spans="18:20">
      <c r="R125" s="59" t="s">
        <v>215</v>
      </c>
      <c r="S125" s="74">
        <v>0.72299999999999998</v>
      </c>
      <c r="T125" s="59">
        <v>0.75700000000000001</v>
      </c>
    </row>
    <row r="126" spans="18:20">
      <c r="R126" s="64" t="s">
        <v>218</v>
      </c>
      <c r="S126" s="73">
        <v>540</v>
      </c>
      <c r="T126" s="73">
        <v>1350</v>
      </c>
    </row>
  </sheetData>
  <phoneticPr fontId="1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CC94-4B60-C846-86F7-2916EEDC2F73}">
  <dimension ref="A1:H64"/>
  <sheetViews>
    <sheetView tabSelected="1" workbookViewId="0">
      <selection activeCell="D64" sqref="D64:H64"/>
    </sheetView>
  </sheetViews>
  <sheetFormatPr baseColWidth="10" defaultRowHeight="16"/>
  <sheetData>
    <row r="1" spans="1:8">
      <c r="A1" t="s">
        <v>80</v>
      </c>
      <c r="B1" s="66" t="s">
        <v>170</v>
      </c>
      <c r="C1" s="66" t="s">
        <v>3</v>
      </c>
      <c r="D1" s="66" t="s">
        <v>173</v>
      </c>
      <c r="E1" s="66" t="s">
        <v>4</v>
      </c>
      <c r="F1" s="66" t="s">
        <v>171</v>
      </c>
      <c r="G1" s="66" t="s">
        <v>172</v>
      </c>
      <c r="H1" s="66" t="s">
        <v>174</v>
      </c>
    </row>
    <row r="2" spans="1:8">
      <c r="A2">
        <v>64</v>
      </c>
      <c r="B2" s="68">
        <v>1</v>
      </c>
      <c r="C2" s="68" t="s">
        <v>26</v>
      </c>
      <c r="D2" s="68">
        <v>16</v>
      </c>
      <c r="E2" s="68" t="s">
        <v>175</v>
      </c>
      <c r="F2" s="68">
        <v>9428</v>
      </c>
      <c r="G2" s="68">
        <v>0.94269999999999998</v>
      </c>
      <c r="H2" s="68" t="s">
        <v>26</v>
      </c>
    </row>
    <row r="3" spans="1:8">
      <c r="A3">
        <v>64</v>
      </c>
      <c r="B3" s="68">
        <v>8</v>
      </c>
      <c r="C3" s="68" t="s">
        <v>176</v>
      </c>
      <c r="D3" s="68">
        <v>9</v>
      </c>
      <c r="E3" s="68" t="s">
        <v>177</v>
      </c>
      <c r="F3" s="68">
        <v>3652</v>
      </c>
      <c r="G3" s="68">
        <v>0.36520000000000002</v>
      </c>
      <c r="H3" s="68" t="s">
        <v>177</v>
      </c>
    </row>
    <row r="4" spans="1:8">
      <c r="A4">
        <v>64</v>
      </c>
      <c r="B4" s="68">
        <v>5</v>
      </c>
      <c r="C4" s="68" t="s">
        <v>178</v>
      </c>
      <c r="D4" s="68">
        <v>12</v>
      </c>
      <c r="E4" s="68" t="s">
        <v>179</v>
      </c>
      <c r="F4" s="68">
        <v>8005</v>
      </c>
      <c r="G4" s="68">
        <v>0.8004</v>
      </c>
      <c r="H4" s="68" t="s">
        <v>178</v>
      </c>
    </row>
    <row r="5" spans="1:8">
      <c r="A5">
        <v>64</v>
      </c>
      <c r="B5" s="68">
        <v>4</v>
      </c>
      <c r="C5" s="68" t="s">
        <v>48</v>
      </c>
      <c r="D5" s="68">
        <v>13</v>
      </c>
      <c r="E5" s="68" t="s">
        <v>47</v>
      </c>
      <c r="F5" s="68">
        <v>8946</v>
      </c>
      <c r="G5" s="68">
        <v>0.89449999999999996</v>
      </c>
      <c r="H5" s="68" t="s">
        <v>48</v>
      </c>
    </row>
    <row r="6" spans="1:8">
      <c r="A6">
        <v>64</v>
      </c>
      <c r="B6" s="68">
        <v>6</v>
      </c>
      <c r="C6" s="68" t="s">
        <v>37</v>
      </c>
      <c r="D6" s="68">
        <v>11</v>
      </c>
      <c r="E6" s="68" t="s">
        <v>35</v>
      </c>
      <c r="F6" s="68">
        <v>6705</v>
      </c>
      <c r="G6" s="68">
        <v>0.6704</v>
      </c>
      <c r="H6" s="68" t="s">
        <v>37</v>
      </c>
    </row>
    <row r="7" spans="1:8">
      <c r="A7">
        <v>64</v>
      </c>
      <c r="B7" s="68">
        <v>3</v>
      </c>
      <c r="C7" s="68" t="s">
        <v>24</v>
      </c>
      <c r="D7" s="68">
        <v>14</v>
      </c>
      <c r="E7" s="68" t="s">
        <v>180</v>
      </c>
      <c r="F7" s="68">
        <v>8948</v>
      </c>
      <c r="G7" s="68">
        <v>0.89470000000000005</v>
      </c>
      <c r="H7" s="68" t="s">
        <v>24</v>
      </c>
    </row>
    <row r="8" spans="1:8">
      <c r="A8">
        <v>64</v>
      </c>
      <c r="B8" s="68">
        <v>7</v>
      </c>
      <c r="C8" s="68" t="s">
        <v>38</v>
      </c>
      <c r="D8" s="68">
        <v>10</v>
      </c>
      <c r="E8" s="68" t="s">
        <v>29</v>
      </c>
      <c r="F8" s="68">
        <v>5985</v>
      </c>
      <c r="G8" s="68">
        <v>0.59840000000000004</v>
      </c>
      <c r="H8" s="68" t="s">
        <v>38</v>
      </c>
    </row>
    <row r="9" spans="1:8">
      <c r="A9">
        <v>64</v>
      </c>
      <c r="B9" s="68">
        <v>2</v>
      </c>
      <c r="C9" s="68" t="s">
        <v>54</v>
      </c>
      <c r="D9" s="68">
        <v>15</v>
      </c>
      <c r="E9" s="68" t="s">
        <v>181</v>
      </c>
      <c r="F9" s="68">
        <v>9187</v>
      </c>
      <c r="G9" s="68">
        <v>0.91859999999999997</v>
      </c>
      <c r="H9" s="68" t="s">
        <v>54</v>
      </c>
    </row>
    <row r="10" spans="1:8">
      <c r="A10">
        <v>64</v>
      </c>
      <c r="B10" s="68">
        <v>1</v>
      </c>
      <c r="C10" s="68" t="s">
        <v>15</v>
      </c>
      <c r="D10" s="68">
        <v>16</v>
      </c>
      <c r="E10" s="68" t="s">
        <v>182</v>
      </c>
      <c r="F10" s="68">
        <v>9340</v>
      </c>
      <c r="G10" s="68">
        <v>0.93389999999999995</v>
      </c>
      <c r="H10" s="68" t="s">
        <v>15</v>
      </c>
    </row>
    <row r="11" spans="1:8">
      <c r="A11">
        <v>64</v>
      </c>
      <c r="B11" s="68">
        <v>8</v>
      </c>
      <c r="C11" s="68" t="s">
        <v>16</v>
      </c>
      <c r="D11" s="68">
        <v>9</v>
      </c>
      <c r="E11" s="68" t="s">
        <v>42</v>
      </c>
      <c r="F11" s="68">
        <v>7175</v>
      </c>
      <c r="G11" s="68">
        <v>0.71740000000000004</v>
      </c>
      <c r="H11" s="68" t="s">
        <v>16</v>
      </c>
    </row>
    <row r="12" spans="1:8">
      <c r="A12">
        <v>64</v>
      </c>
      <c r="B12" s="68">
        <v>5</v>
      </c>
      <c r="C12" s="68" t="s">
        <v>59</v>
      </c>
      <c r="D12" s="68">
        <v>12</v>
      </c>
      <c r="E12" s="68" t="s">
        <v>183</v>
      </c>
      <c r="F12" s="68">
        <v>7497</v>
      </c>
      <c r="G12" s="68">
        <v>0.74960000000000004</v>
      </c>
      <c r="H12" s="68" t="s">
        <v>59</v>
      </c>
    </row>
    <row r="13" spans="1:8">
      <c r="A13">
        <v>64</v>
      </c>
      <c r="B13" s="68">
        <v>4</v>
      </c>
      <c r="C13" s="68" t="s">
        <v>66</v>
      </c>
      <c r="D13" s="68">
        <v>13</v>
      </c>
      <c r="E13" s="68" t="s">
        <v>25</v>
      </c>
      <c r="F13" s="68">
        <v>8943</v>
      </c>
      <c r="G13" s="68">
        <v>0.89419999999999999</v>
      </c>
      <c r="H13" s="68" t="s">
        <v>66</v>
      </c>
    </row>
    <row r="14" spans="1:8">
      <c r="A14">
        <v>64</v>
      </c>
      <c r="B14" s="68">
        <v>6</v>
      </c>
      <c r="C14" s="68" t="s">
        <v>41</v>
      </c>
      <c r="D14" s="68">
        <v>11</v>
      </c>
      <c r="E14" s="68" t="s">
        <v>184</v>
      </c>
      <c r="F14" s="68">
        <v>7576</v>
      </c>
      <c r="G14" s="68">
        <v>0.75749999999999995</v>
      </c>
      <c r="H14" s="68" t="s">
        <v>41</v>
      </c>
    </row>
    <row r="15" spans="1:8">
      <c r="A15">
        <v>64</v>
      </c>
      <c r="B15" s="68">
        <v>3</v>
      </c>
      <c r="C15" s="68" t="s">
        <v>44</v>
      </c>
      <c r="D15" s="68">
        <v>14</v>
      </c>
      <c r="E15" s="68" t="s">
        <v>21</v>
      </c>
      <c r="F15" s="68">
        <v>8852</v>
      </c>
      <c r="G15" s="68">
        <v>0.8851</v>
      </c>
      <c r="H15" s="68" t="s">
        <v>44</v>
      </c>
    </row>
    <row r="16" spans="1:8">
      <c r="A16">
        <v>64</v>
      </c>
      <c r="B16" s="68">
        <v>7</v>
      </c>
      <c r="C16" s="68" t="s">
        <v>64</v>
      </c>
      <c r="D16" s="68">
        <v>10</v>
      </c>
      <c r="E16" s="68" t="s">
        <v>57</v>
      </c>
      <c r="F16" s="68">
        <v>7188</v>
      </c>
      <c r="G16" s="68">
        <v>0.71870000000000001</v>
      </c>
      <c r="H16" s="68" t="s">
        <v>64</v>
      </c>
    </row>
    <row r="17" spans="1:8">
      <c r="A17">
        <v>64</v>
      </c>
      <c r="B17" s="68">
        <v>2</v>
      </c>
      <c r="C17" s="68" t="s">
        <v>58</v>
      </c>
      <c r="D17" s="68">
        <v>15</v>
      </c>
      <c r="E17" s="68" t="s">
        <v>185</v>
      </c>
      <c r="F17" s="68">
        <v>9087</v>
      </c>
      <c r="G17" s="68">
        <v>0.90859999999999996</v>
      </c>
      <c r="H17" s="68" t="s">
        <v>58</v>
      </c>
    </row>
    <row r="18" spans="1:8">
      <c r="A18">
        <v>64</v>
      </c>
      <c r="B18" s="68">
        <v>1</v>
      </c>
      <c r="C18" s="68" t="s">
        <v>186</v>
      </c>
      <c r="D18" s="68">
        <v>16</v>
      </c>
      <c r="E18" s="68" t="s">
        <v>187</v>
      </c>
      <c r="F18" s="68">
        <v>9359</v>
      </c>
      <c r="G18" s="68">
        <v>0.93579999999999997</v>
      </c>
      <c r="H18" s="68" t="s">
        <v>186</v>
      </c>
    </row>
    <row r="19" spans="1:8">
      <c r="A19">
        <v>64</v>
      </c>
      <c r="B19" s="68">
        <v>8</v>
      </c>
      <c r="C19" s="68" t="s">
        <v>22</v>
      </c>
      <c r="D19" s="68">
        <v>9</v>
      </c>
      <c r="E19" s="68" t="s">
        <v>188</v>
      </c>
      <c r="F19" s="68">
        <v>6143</v>
      </c>
      <c r="G19" s="68">
        <v>0.61419999999999997</v>
      </c>
      <c r="H19" s="68" t="s">
        <v>22</v>
      </c>
    </row>
    <row r="20" spans="1:8">
      <c r="A20">
        <v>64</v>
      </c>
      <c r="B20" s="68">
        <v>5</v>
      </c>
      <c r="C20" s="68" t="s">
        <v>36</v>
      </c>
      <c r="D20" s="68">
        <v>12</v>
      </c>
      <c r="E20" s="68" t="s">
        <v>189</v>
      </c>
      <c r="F20" s="68">
        <v>8116</v>
      </c>
      <c r="G20" s="68">
        <v>0.8115</v>
      </c>
      <c r="H20" s="68" t="s">
        <v>36</v>
      </c>
    </row>
    <row r="21" spans="1:8">
      <c r="A21">
        <v>64</v>
      </c>
      <c r="B21" s="68">
        <v>4</v>
      </c>
      <c r="C21" s="68" t="s">
        <v>39</v>
      </c>
      <c r="D21" s="68">
        <v>13</v>
      </c>
      <c r="E21" s="68" t="s">
        <v>190</v>
      </c>
      <c r="F21" s="68">
        <v>8702</v>
      </c>
      <c r="G21" s="68">
        <v>0.87009999999999998</v>
      </c>
      <c r="H21" s="68" t="s">
        <v>39</v>
      </c>
    </row>
    <row r="22" spans="1:8">
      <c r="A22">
        <v>64</v>
      </c>
      <c r="B22" s="68">
        <v>6</v>
      </c>
      <c r="C22" s="68" t="s">
        <v>191</v>
      </c>
      <c r="D22" s="68">
        <v>11</v>
      </c>
      <c r="E22" s="68" t="s">
        <v>34</v>
      </c>
      <c r="F22" s="68">
        <v>5715</v>
      </c>
      <c r="G22" s="68">
        <v>0.57140000000000002</v>
      </c>
      <c r="H22" s="68" t="s">
        <v>191</v>
      </c>
    </row>
    <row r="23" spans="1:8">
      <c r="A23">
        <v>64</v>
      </c>
      <c r="B23" s="68">
        <v>3</v>
      </c>
      <c r="C23" s="68" t="s">
        <v>52</v>
      </c>
      <c r="D23" s="68">
        <v>14</v>
      </c>
      <c r="E23" s="68" t="s">
        <v>192</v>
      </c>
      <c r="F23" s="68">
        <v>9024</v>
      </c>
      <c r="G23" s="68">
        <v>0.90229999999999999</v>
      </c>
      <c r="H23" s="68" t="s">
        <v>52</v>
      </c>
    </row>
    <row r="24" spans="1:8">
      <c r="A24">
        <v>64</v>
      </c>
      <c r="B24" s="68">
        <v>7</v>
      </c>
      <c r="C24" s="68" t="s">
        <v>193</v>
      </c>
      <c r="D24" s="68">
        <v>10</v>
      </c>
      <c r="E24" s="68" t="s">
        <v>194</v>
      </c>
      <c r="F24" s="68">
        <v>6450</v>
      </c>
      <c r="G24" s="68">
        <v>0.64490000000000003</v>
      </c>
      <c r="H24" s="68" t="s">
        <v>193</v>
      </c>
    </row>
    <row r="25" spans="1:8">
      <c r="A25">
        <v>64</v>
      </c>
      <c r="B25" s="68">
        <v>2</v>
      </c>
      <c r="C25" s="68" t="s">
        <v>30</v>
      </c>
      <c r="D25" s="68">
        <v>15</v>
      </c>
      <c r="E25" s="68" t="s">
        <v>195</v>
      </c>
      <c r="F25" s="68">
        <v>9013</v>
      </c>
      <c r="G25" s="68">
        <v>0.9012</v>
      </c>
      <c r="H25" s="68" t="s">
        <v>30</v>
      </c>
    </row>
    <row r="26" spans="1:8">
      <c r="A26">
        <v>64</v>
      </c>
      <c r="B26" s="68">
        <v>1</v>
      </c>
      <c r="C26" s="68" t="s">
        <v>68</v>
      </c>
      <c r="D26" s="68">
        <v>16</v>
      </c>
      <c r="E26" s="68" t="s">
        <v>196</v>
      </c>
      <c r="F26" s="68">
        <v>9371</v>
      </c>
      <c r="G26" s="68">
        <v>0.93700000000000006</v>
      </c>
      <c r="H26" s="68" t="s">
        <v>68</v>
      </c>
    </row>
    <row r="27" spans="1:8">
      <c r="A27">
        <v>64</v>
      </c>
      <c r="B27" s="68">
        <v>8</v>
      </c>
      <c r="C27" s="68" t="s">
        <v>74</v>
      </c>
      <c r="D27" s="68">
        <v>9</v>
      </c>
      <c r="E27" s="68" t="s">
        <v>197</v>
      </c>
      <c r="F27" s="68">
        <v>6291</v>
      </c>
      <c r="G27" s="68">
        <v>0.629</v>
      </c>
      <c r="H27" s="68" t="s">
        <v>74</v>
      </c>
    </row>
    <row r="28" spans="1:8">
      <c r="A28">
        <v>64</v>
      </c>
      <c r="B28" s="68">
        <v>5</v>
      </c>
      <c r="C28" s="68" t="s">
        <v>198</v>
      </c>
      <c r="D28" s="68">
        <v>12</v>
      </c>
      <c r="E28" s="68" t="s">
        <v>199</v>
      </c>
      <c r="F28" s="68">
        <v>3316</v>
      </c>
      <c r="G28" s="68">
        <v>0.33160000000000001</v>
      </c>
      <c r="H28" s="68" t="s">
        <v>199</v>
      </c>
    </row>
    <row r="29" spans="1:8">
      <c r="A29">
        <v>64</v>
      </c>
      <c r="B29" s="68">
        <v>4</v>
      </c>
      <c r="C29" s="68" t="s">
        <v>200</v>
      </c>
      <c r="D29" s="68">
        <v>13</v>
      </c>
      <c r="E29" s="68" t="s">
        <v>201</v>
      </c>
      <c r="F29" s="68">
        <v>8893</v>
      </c>
      <c r="G29" s="68">
        <v>0.88919999999999999</v>
      </c>
      <c r="H29" s="68" t="s">
        <v>200</v>
      </c>
    </row>
    <row r="30" spans="1:8">
      <c r="A30">
        <v>64</v>
      </c>
      <c r="B30" s="68">
        <v>6</v>
      </c>
      <c r="C30" s="68" t="s">
        <v>73</v>
      </c>
      <c r="D30" s="68">
        <v>11</v>
      </c>
      <c r="E30" s="68" t="s">
        <v>202</v>
      </c>
      <c r="F30" s="68">
        <v>6964</v>
      </c>
      <c r="G30" s="68">
        <v>0.69630000000000003</v>
      </c>
      <c r="H30" s="68" t="s">
        <v>73</v>
      </c>
    </row>
    <row r="31" spans="1:8">
      <c r="A31">
        <v>64</v>
      </c>
      <c r="B31" s="68">
        <v>3</v>
      </c>
      <c r="C31" s="68" t="s">
        <v>46</v>
      </c>
      <c r="D31" s="68">
        <v>14</v>
      </c>
      <c r="E31" s="68" t="s">
        <v>203</v>
      </c>
      <c r="F31" s="68">
        <v>8990</v>
      </c>
      <c r="G31" s="68">
        <v>0.89890000000000003</v>
      </c>
      <c r="H31" s="68" t="s">
        <v>46</v>
      </c>
    </row>
    <row r="32" spans="1:8">
      <c r="A32">
        <v>64</v>
      </c>
      <c r="B32" s="68">
        <v>7</v>
      </c>
      <c r="C32" s="68" t="s">
        <v>69</v>
      </c>
      <c r="D32" s="68">
        <v>10</v>
      </c>
      <c r="E32" s="68" t="s">
        <v>32</v>
      </c>
      <c r="F32" s="68">
        <v>6665</v>
      </c>
      <c r="G32" s="68">
        <v>0.66639999999999999</v>
      </c>
      <c r="H32" s="68" t="s">
        <v>69</v>
      </c>
    </row>
    <row r="33" spans="1:8">
      <c r="A33">
        <v>64</v>
      </c>
      <c r="B33" s="68">
        <v>2</v>
      </c>
      <c r="C33" s="68" t="s">
        <v>75</v>
      </c>
      <c r="D33" s="68">
        <v>15</v>
      </c>
      <c r="E33" s="68" t="s">
        <v>204</v>
      </c>
      <c r="F33" s="68">
        <v>8937</v>
      </c>
      <c r="G33" s="68">
        <v>0.89359999999999995</v>
      </c>
      <c r="H33" s="68" t="s">
        <v>75</v>
      </c>
    </row>
    <row r="34" spans="1:8">
      <c r="A34">
        <v>32</v>
      </c>
      <c r="B34" s="68">
        <v>4</v>
      </c>
      <c r="C34" s="68" t="s">
        <v>48</v>
      </c>
      <c r="D34" s="68">
        <v>5</v>
      </c>
      <c r="E34" s="68" t="s">
        <v>178</v>
      </c>
      <c r="F34" s="68">
        <v>4237</v>
      </c>
      <c r="G34" s="68">
        <v>0.59079999999999999</v>
      </c>
      <c r="H34" s="68" t="s">
        <v>48</v>
      </c>
    </row>
    <row r="35" spans="1:8">
      <c r="A35">
        <v>32</v>
      </c>
      <c r="B35" s="68">
        <v>3</v>
      </c>
      <c r="C35" s="68" t="s">
        <v>24</v>
      </c>
      <c r="D35" s="68">
        <v>6</v>
      </c>
      <c r="E35" s="68" t="s">
        <v>37</v>
      </c>
      <c r="F35" s="68">
        <v>3287</v>
      </c>
      <c r="G35" s="68">
        <v>0.54810000000000003</v>
      </c>
      <c r="H35" s="68" t="s">
        <v>37</v>
      </c>
    </row>
    <row r="36" spans="1:8">
      <c r="A36">
        <v>32</v>
      </c>
      <c r="B36" s="68">
        <v>2</v>
      </c>
      <c r="C36" s="68" t="s">
        <v>54</v>
      </c>
      <c r="D36" s="68">
        <v>7</v>
      </c>
      <c r="E36" s="68" t="s">
        <v>38</v>
      </c>
      <c r="F36" s="68">
        <v>3305</v>
      </c>
      <c r="G36" s="68">
        <v>0.60029999999999994</v>
      </c>
      <c r="H36" s="68" t="s">
        <v>54</v>
      </c>
    </row>
    <row r="37" spans="1:8">
      <c r="A37">
        <v>32</v>
      </c>
      <c r="B37" s="68">
        <v>4</v>
      </c>
      <c r="C37" s="68" t="s">
        <v>39</v>
      </c>
      <c r="D37" s="68">
        <v>5</v>
      </c>
      <c r="E37" s="68" t="s">
        <v>36</v>
      </c>
      <c r="F37" s="68">
        <v>3363</v>
      </c>
      <c r="G37" s="68">
        <v>0.4763</v>
      </c>
      <c r="H37" s="68" t="s">
        <v>36</v>
      </c>
    </row>
    <row r="38" spans="1:8">
      <c r="A38">
        <v>32</v>
      </c>
      <c r="B38" s="68">
        <v>3</v>
      </c>
      <c r="C38" s="68" t="s">
        <v>52</v>
      </c>
      <c r="D38" s="68">
        <v>6</v>
      </c>
      <c r="E38" s="68" t="s">
        <v>191</v>
      </c>
      <c r="F38" s="68">
        <v>2798</v>
      </c>
      <c r="G38" s="68">
        <v>0.54279999999999995</v>
      </c>
      <c r="H38" s="68" t="s">
        <v>191</v>
      </c>
    </row>
    <row r="39" spans="1:8">
      <c r="A39">
        <v>32</v>
      </c>
      <c r="B39" s="68">
        <v>2</v>
      </c>
      <c r="C39" s="68" t="s">
        <v>30</v>
      </c>
      <c r="D39" s="68">
        <v>7</v>
      </c>
      <c r="E39" s="68" t="s">
        <v>193</v>
      </c>
      <c r="F39" s="68">
        <v>3159</v>
      </c>
      <c r="G39" s="68">
        <v>0.54359999999999997</v>
      </c>
      <c r="H39" s="68" t="s">
        <v>193</v>
      </c>
    </row>
    <row r="40" spans="1:8">
      <c r="A40">
        <v>32</v>
      </c>
      <c r="B40" s="68">
        <v>1</v>
      </c>
      <c r="C40" s="68" t="s">
        <v>68</v>
      </c>
      <c r="D40" s="68">
        <v>8</v>
      </c>
      <c r="E40" s="68" t="s">
        <v>74</v>
      </c>
      <c r="F40" s="68">
        <v>4537</v>
      </c>
      <c r="G40" s="68">
        <v>0.76829999999999998</v>
      </c>
      <c r="H40" s="68" t="s">
        <v>68</v>
      </c>
    </row>
    <row r="41" spans="1:8">
      <c r="A41">
        <v>32</v>
      </c>
      <c r="B41" s="68">
        <v>4</v>
      </c>
      <c r="C41" s="68" t="s">
        <v>200</v>
      </c>
      <c r="D41" s="68">
        <v>12</v>
      </c>
      <c r="E41" s="68" t="s">
        <v>199</v>
      </c>
      <c r="F41" s="68">
        <v>3920</v>
      </c>
      <c r="G41" s="68">
        <v>0.65800000000000003</v>
      </c>
      <c r="H41" s="68" t="s">
        <v>200</v>
      </c>
    </row>
    <row r="42" spans="1:8">
      <c r="A42">
        <v>32</v>
      </c>
      <c r="B42" s="68">
        <v>3</v>
      </c>
      <c r="C42" s="68" t="s">
        <v>46</v>
      </c>
      <c r="D42" s="68">
        <v>6</v>
      </c>
      <c r="E42" s="68" t="s">
        <v>73</v>
      </c>
      <c r="F42" s="68">
        <v>4102</v>
      </c>
      <c r="G42" s="68">
        <v>0.65380000000000005</v>
      </c>
      <c r="H42" s="68" t="s">
        <v>46</v>
      </c>
    </row>
    <row r="43" spans="1:8">
      <c r="A43">
        <v>32</v>
      </c>
      <c r="B43" s="68">
        <v>2</v>
      </c>
      <c r="C43" s="68" t="s">
        <v>75</v>
      </c>
      <c r="D43" s="68">
        <v>7</v>
      </c>
      <c r="E43" s="68" t="s">
        <v>69</v>
      </c>
      <c r="F43" s="68">
        <v>3290</v>
      </c>
      <c r="G43" s="68">
        <v>0.55210000000000004</v>
      </c>
      <c r="H43" s="68" t="s">
        <v>69</v>
      </c>
    </row>
    <row r="44" spans="1:8">
      <c r="A44">
        <v>32</v>
      </c>
      <c r="B44" s="68">
        <v>1</v>
      </c>
      <c r="C44" s="68" t="s">
        <v>26</v>
      </c>
      <c r="D44" s="68">
        <v>9</v>
      </c>
      <c r="E44" s="68" t="s">
        <v>177</v>
      </c>
      <c r="F44" s="68">
        <v>4632</v>
      </c>
      <c r="G44" s="68">
        <v>0.77590000000000003</v>
      </c>
      <c r="H44" s="68" t="s">
        <v>26</v>
      </c>
    </row>
    <row r="45" spans="1:8">
      <c r="A45">
        <v>32</v>
      </c>
      <c r="B45" s="68">
        <v>1</v>
      </c>
      <c r="C45" s="68" t="s">
        <v>15</v>
      </c>
      <c r="D45" s="68">
        <v>8</v>
      </c>
      <c r="E45" s="68" t="s">
        <v>16</v>
      </c>
      <c r="F45" s="68">
        <v>4448</v>
      </c>
      <c r="G45" s="68">
        <v>0.66349999999999998</v>
      </c>
      <c r="H45" s="68" t="s">
        <v>15</v>
      </c>
    </row>
    <row r="46" spans="1:8">
      <c r="A46">
        <v>32</v>
      </c>
      <c r="B46" s="68">
        <v>4</v>
      </c>
      <c r="C46" s="68" t="s">
        <v>66</v>
      </c>
      <c r="D46" s="68">
        <v>5</v>
      </c>
      <c r="E46" s="68" t="s">
        <v>59</v>
      </c>
      <c r="F46" s="68">
        <v>4008</v>
      </c>
      <c r="G46" s="68">
        <v>0.59989999999999999</v>
      </c>
      <c r="H46" s="68" t="s">
        <v>66</v>
      </c>
    </row>
    <row r="47" spans="1:8">
      <c r="A47">
        <v>32</v>
      </c>
      <c r="B47" s="68">
        <v>2</v>
      </c>
      <c r="C47" s="68" t="s">
        <v>58</v>
      </c>
      <c r="D47" s="68">
        <v>7</v>
      </c>
      <c r="E47" s="68" t="s">
        <v>64</v>
      </c>
      <c r="F47" s="68">
        <v>4409</v>
      </c>
      <c r="G47" s="68">
        <v>0.67749999999999999</v>
      </c>
      <c r="H47" s="68" t="s">
        <v>58</v>
      </c>
    </row>
    <row r="48" spans="1:8">
      <c r="A48">
        <v>32</v>
      </c>
      <c r="B48" s="68">
        <v>1</v>
      </c>
      <c r="C48" s="68" t="s">
        <v>186</v>
      </c>
      <c r="D48" s="68">
        <v>8</v>
      </c>
      <c r="E48" s="68" t="s">
        <v>22</v>
      </c>
      <c r="F48" s="68">
        <v>4000</v>
      </c>
      <c r="G48" s="68">
        <v>0.69879999999999998</v>
      </c>
      <c r="H48" s="68" t="s">
        <v>186</v>
      </c>
    </row>
    <row r="49" spans="1:8">
      <c r="A49">
        <v>32</v>
      </c>
      <c r="B49" s="68">
        <v>3</v>
      </c>
      <c r="C49" s="68" t="s">
        <v>44</v>
      </c>
      <c r="D49" s="68">
        <v>6</v>
      </c>
      <c r="E49" s="68" t="s">
        <v>41</v>
      </c>
      <c r="F49" s="68">
        <v>3187</v>
      </c>
      <c r="G49" s="68">
        <v>0.47460000000000002</v>
      </c>
      <c r="H49" s="68" t="s">
        <v>41</v>
      </c>
    </row>
    <row r="50" spans="1:8">
      <c r="A50">
        <v>16</v>
      </c>
      <c r="B50" s="68">
        <v>1</v>
      </c>
      <c r="C50" s="68" t="s">
        <v>186</v>
      </c>
      <c r="D50" s="68">
        <v>5</v>
      </c>
      <c r="E50" s="68" t="s">
        <v>36</v>
      </c>
      <c r="F50" s="68">
        <v>1730</v>
      </c>
      <c r="G50" s="68">
        <v>0.61280000000000001</v>
      </c>
      <c r="H50" s="68" t="s">
        <v>36</v>
      </c>
    </row>
    <row r="51" spans="1:8">
      <c r="A51">
        <v>16</v>
      </c>
      <c r="B51" s="68">
        <v>1</v>
      </c>
      <c r="C51" s="68" t="s">
        <v>68</v>
      </c>
      <c r="D51" s="68">
        <v>4</v>
      </c>
      <c r="E51" s="68" t="s">
        <v>200</v>
      </c>
      <c r="F51" s="68">
        <v>2975</v>
      </c>
      <c r="G51" s="68">
        <v>0.70499999999999996</v>
      </c>
      <c r="H51" s="68" t="s">
        <v>68</v>
      </c>
    </row>
    <row r="52" spans="1:8">
      <c r="A52">
        <v>16</v>
      </c>
      <c r="B52" s="68">
        <v>1</v>
      </c>
      <c r="C52" s="68" t="s">
        <v>26</v>
      </c>
      <c r="D52" s="68">
        <v>4</v>
      </c>
      <c r="E52" s="68" t="s">
        <v>48</v>
      </c>
      <c r="F52" s="68">
        <v>2853</v>
      </c>
      <c r="G52" s="68">
        <v>0.6804</v>
      </c>
      <c r="H52" s="68" t="s">
        <v>26</v>
      </c>
    </row>
    <row r="53" spans="1:8">
      <c r="A53">
        <v>16</v>
      </c>
      <c r="B53" s="68">
        <v>2</v>
      </c>
      <c r="C53" s="68" t="s">
        <v>58</v>
      </c>
      <c r="D53" s="68">
        <v>6</v>
      </c>
      <c r="E53" s="68" t="s">
        <v>41</v>
      </c>
      <c r="F53" s="68">
        <v>1821</v>
      </c>
      <c r="G53" s="68">
        <v>0.66049999999999998</v>
      </c>
      <c r="H53" s="68" t="s">
        <v>58</v>
      </c>
    </row>
    <row r="54" spans="1:8">
      <c r="A54">
        <v>16</v>
      </c>
      <c r="B54" s="68">
        <v>1</v>
      </c>
      <c r="C54" s="68" t="s">
        <v>15</v>
      </c>
      <c r="D54" s="68">
        <v>4</v>
      </c>
      <c r="E54" s="68" t="s">
        <v>66</v>
      </c>
      <c r="F54" s="68">
        <v>2730</v>
      </c>
      <c r="G54" s="68">
        <v>0.73640000000000005</v>
      </c>
      <c r="H54" s="68" t="s">
        <v>15</v>
      </c>
    </row>
    <row r="55" spans="1:8">
      <c r="A55">
        <v>16</v>
      </c>
      <c r="B55" s="68">
        <v>2</v>
      </c>
      <c r="C55" s="68" t="s">
        <v>54</v>
      </c>
      <c r="D55" s="68">
        <v>6</v>
      </c>
      <c r="E55" s="68" t="s">
        <v>37</v>
      </c>
      <c r="F55" s="68">
        <v>1310</v>
      </c>
      <c r="G55" s="68">
        <v>0.68730000000000002</v>
      </c>
      <c r="H55" s="68" t="s">
        <v>54</v>
      </c>
    </row>
    <row r="56" spans="1:8">
      <c r="A56">
        <v>16</v>
      </c>
      <c r="B56" s="68">
        <v>3</v>
      </c>
      <c r="C56" s="68" t="s">
        <v>46</v>
      </c>
      <c r="D56" s="68">
        <v>7</v>
      </c>
      <c r="E56" s="68" t="s">
        <v>69</v>
      </c>
      <c r="F56" s="68">
        <v>1150</v>
      </c>
      <c r="G56" s="68">
        <v>0.5665</v>
      </c>
      <c r="H56" s="68" t="s">
        <v>69</v>
      </c>
    </row>
    <row r="57" spans="1:8">
      <c r="A57">
        <v>16</v>
      </c>
      <c r="B57" s="68">
        <v>6</v>
      </c>
      <c r="C57" s="68" t="s">
        <v>191</v>
      </c>
      <c r="D57" s="68">
        <v>7</v>
      </c>
      <c r="E57" s="68" t="s">
        <v>193</v>
      </c>
      <c r="F57" s="68">
        <v>522</v>
      </c>
      <c r="G57" s="68">
        <v>0.58919999999999995</v>
      </c>
      <c r="H57" s="68" t="s">
        <v>191</v>
      </c>
    </row>
    <row r="58" spans="1:8">
      <c r="A58">
        <v>8</v>
      </c>
      <c r="B58" s="68">
        <v>1</v>
      </c>
      <c r="C58" s="68" t="s">
        <v>26</v>
      </c>
      <c r="D58" s="68">
        <v>2</v>
      </c>
      <c r="E58" s="68" t="s">
        <v>54</v>
      </c>
      <c r="F58" s="68">
        <v>1223</v>
      </c>
      <c r="G58" s="68">
        <v>0.60340000000000005</v>
      </c>
      <c r="H58" s="68" t="s">
        <v>26</v>
      </c>
    </row>
    <row r="59" spans="1:8">
      <c r="A59">
        <v>8</v>
      </c>
      <c r="B59" s="68">
        <v>1</v>
      </c>
      <c r="C59" s="68" t="s">
        <v>15</v>
      </c>
      <c r="D59" s="68">
        <v>2</v>
      </c>
      <c r="E59" s="68" t="s">
        <v>58</v>
      </c>
      <c r="F59" s="68">
        <v>1362</v>
      </c>
      <c r="G59" s="68">
        <v>0.64370000000000005</v>
      </c>
      <c r="H59" s="68" t="s">
        <v>15</v>
      </c>
    </row>
    <row r="60" spans="1:8">
      <c r="A60">
        <v>8</v>
      </c>
      <c r="B60" s="68">
        <v>1</v>
      </c>
      <c r="C60" s="68" t="s">
        <v>68</v>
      </c>
      <c r="D60" s="68">
        <v>7</v>
      </c>
      <c r="E60" s="68" t="s">
        <v>69</v>
      </c>
      <c r="F60" s="68">
        <v>554</v>
      </c>
      <c r="G60" s="68">
        <v>0.66510000000000002</v>
      </c>
      <c r="H60" s="68" t="s">
        <v>68</v>
      </c>
    </row>
    <row r="61" spans="1:8">
      <c r="A61">
        <v>8</v>
      </c>
      <c r="B61" s="68">
        <v>5</v>
      </c>
      <c r="C61" s="68" t="s">
        <v>36</v>
      </c>
      <c r="D61" s="68">
        <v>6</v>
      </c>
      <c r="E61" s="68" t="s">
        <v>191</v>
      </c>
      <c r="F61" s="68">
        <v>167</v>
      </c>
      <c r="G61" s="68">
        <v>0.56610000000000005</v>
      </c>
      <c r="H61" s="68" t="s">
        <v>36</v>
      </c>
    </row>
    <row r="62" spans="1:8">
      <c r="A62">
        <v>4</v>
      </c>
      <c r="B62" s="68">
        <v>1</v>
      </c>
      <c r="C62" s="68" t="s">
        <v>68</v>
      </c>
      <c r="D62" s="68">
        <v>5</v>
      </c>
      <c r="E62" s="68" t="s">
        <v>36</v>
      </c>
      <c r="F62" s="68">
        <v>230</v>
      </c>
      <c r="G62" s="68">
        <v>0.63190000000000002</v>
      </c>
      <c r="H62" s="68" t="s">
        <v>68</v>
      </c>
    </row>
    <row r="63" spans="1:8">
      <c r="A63">
        <v>4</v>
      </c>
      <c r="B63" s="68">
        <v>1</v>
      </c>
      <c r="C63" s="68" t="s">
        <v>26</v>
      </c>
      <c r="D63" s="68">
        <v>1</v>
      </c>
      <c r="E63" s="68" t="s">
        <v>15</v>
      </c>
      <c r="F63" s="68">
        <v>658</v>
      </c>
      <c r="G63" s="68">
        <v>0.48780000000000001</v>
      </c>
      <c r="H63" s="68" t="s">
        <v>15</v>
      </c>
    </row>
    <row r="64" spans="1:8">
      <c r="A64">
        <v>2</v>
      </c>
      <c r="B64" s="68">
        <v>1</v>
      </c>
      <c r="C64" s="68" t="s">
        <v>68</v>
      </c>
      <c r="D64" s="68">
        <v>1</v>
      </c>
      <c r="E64" s="68" t="s">
        <v>15</v>
      </c>
      <c r="F64" s="68">
        <v>172</v>
      </c>
      <c r="G64" s="68">
        <v>0.36830000000000002</v>
      </c>
      <c r="H64" s="6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B5F7-3C51-E14E-B9B5-B7BEA0E88C87}">
  <dimension ref="A1:H64"/>
  <sheetViews>
    <sheetView workbookViewId="0">
      <selection activeCell="J19" sqref="J19"/>
    </sheetView>
  </sheetViews>
  <sheetFormatPr baseColWidth="10" defaultRowHeight="16"/>
  <cols>
    <col min="7" max="7" width="18.6640625" customWidth="1"/>
  </cols>
  <sheetData>
    <row r="1" spans="1:8">
      <c r="A1" t="s">
        <v>80</v>
      </c>
      <c r="B1" s="66" t="s">
        <v>170</v>
      </c>
      <c r="C1" s="66" t="s">
        <v>3</v>
      </c>
      <c r="D1" s="66" t="s">
        <v>173</v>
      </c>
      <c r="E1" s="66" t="s">
        <v>4</v>
      </c>
      <c r="F1" s="66" t="s">
        <v>208</v>
      </c>
      <c r="G1" s="66" t="s">
        <v>2</v>
      </c>
      <c r="H1" s="66" t="s">
        <v>174</v>
      </c>
    </row>
    <row r="2" spans="1:8">
      <c r="A2">
        <v>64</v>
      </c>
      <c r="B2" s="68">
        <v>1</v>
      </c>
      <c r="C2" s="68" t="s">
        <v>26</v>
      </c>
      <c r="D2" s="68">
        <v>16</v>
      </c>
      <c r="E2" s="68" t="s">
        <v>27</v>
      </c>
      <c r="F2" s="68">
        <v>8775</v>
      </c>
      <c r="G2" s="68">
        <v>0.87749999999999995</v>
      </c>
      <c r="H2" s="68" t="s">
        <v>26</v>
      </c>
    </row>
    <row r="3" spans="1:8">
      <c r="A3">
        <v>64</v>
      </c>
      <c r="B3" s="68">
        <v>8</v>
      </c>
      <c r="C3" s="68" t="s">
        <v>18</v>
      </c>
      <c r="D3" s="68">
        <v>9</v>
      </c>
      <c r="E3" s="68" t="s">
        <v>19</v>
      </c>
      <c r="F3" s="68">
        <v>5800</v>
      </c>
      <c r="G3" s="68">
        <v>0.57999999999999996</v>
      </c>
      <c r="H3" s="68" t="s">
        <v>19</v>
      </c>
    </row>
    <row r="4" spans="1:8">
      <c r="A4">
        <v>64</v>
      </c>
      <c r="B4" s="68">
        <v>5</v>
      </c>
      <c r="C4" s="68" t="s">
        <v>75</v>
      </c>
      <c r="D4" s="68">
        <v>12</v>
      </c>
      <c r="E4" s="68" t="s">
        <v>61</v>
      </c>
      <c r="F4" s="68">
        <v>8480</v>
      </c>
      <c r="G4" s="68">
        <v>0.84799999999999998</v>
      </c>
      <c r="H4" s="68" t="s">
        <v>75</v>
      </c>
    </row>
    <row r="5" spans="1:8">
      <c r="A5">
        <v>64</v>
      </c>
      <c r="B5" s="68">
        <v>4</v>
      </c>
      <c r="C5" s="68" t="s">
        <v>69</v>
      </c>
      <c r="D5" s="68">
        <v>13</v>
      </c>
      <c r="E5" s="68" t="s">
        <v>70</v>
      </c>
      <c r="F5" s="68">
        <v>8082</v>
      </c>
      <c r="G5" s="68">
        <v>0.80820000000000003</v>
      </c>
      <c r="H5" s="68" t="s">
        <v>69</v>
      </c>
    </row>
    <row r="6" spans="1:8">
      <c r="A6">
        <v>64</v>
      </c>
      <c r="B6" s="68">
        <v>6</v>
      </c>
      <c r="C6" s="68" t="s">
        <v>22</v>
      </c>
      <c r="D6" s="68">
        <v>11</v>
      </c>
      <c r="E6" s="68" t="s">
        <v>23</v>
      </c>
      <c r="F6" s="68">
        <v>4336</v>
      </c>
      <c r="G6" s="68">
        <v>0.43359999999999999</v>
      </c>
      <c r="H6" s="68" t="s">
        <v>23</v>
      </c>
    </row>
    <row r="7" spans="1:8">
      <c r="A7">
        <v>64</v>
      </c>
      <c r="B7" s="68">
        <v>3</v>
      </c>
      <c r="C7" s="68" t="s">
        <v>30</v>
      </c>
      <c r="D7" s="68">
        <v>14</v>
      </c>
      <c r="E7" s="68" t="s">
        <v>31</v>
      </c>
      <c r="F7" s="68">
        <v>6886</v>
      </c>
      <c r="G7" s="68">
        <v>0.68859999999999999</v>
      </c>
      <c r="H7" s="68" t="s">
        <v>30</v>
      </c>
    </row>
    <row r="8" spans="1:8">
      <c r="A8">
        <v>64</v>
      </c>
      <c r="B8" s="68">
        <v>7</v>
      </c>
      <c r="C8" s="68" t="s">
        <v>64</v>
      </c>
      <c r="D8" s="68">
        <v>10</v>
      </c>
      <c r="E8" s="68" t="s">
        <v>65</v>
      </c>
      <c r="F8" s="68">
        <v>8045</v>
      </c>
      <c r="G8" s="68">
        <v>0.80449999999999999</v>
      </c>
      <c r="H8" s="68" t="s">
        <v>64</v>
      </c>
    </row>
    <row r="9" spans="1:8">
      <c r="A9">
        <v>64</v>
      </c>
      <c r="B9" s="68">
        <v>2</v>
      </c>
      <c r="C9" s="68" t="s">
        <v>74</v>
      </c>
      <c r="D9" s="68">
        <v>15</v>
      </c>
      <c r="E9" s="68" t="s">
        <v>71</v>
      </c>
      <c r="F9" s="68">
        <v>8729</v>
      </c>
      <c r="G9" s="68">
        <v>0.87290000000000001</v>
      </c>
      <c r="H9" s="68" t="s">
        <v>74</v>
      </c>
    </row>
    <row r="10" spans="1:8">
      <c r="A10">
        <v>64</v>
      </c>
      <c r="B10" s="68">
        <v>1</v>
      </c>
      <c r="C10" s="68" t="s">
        <v>68</v>
      </c>
      <c r="D10" s="68">
        <v>16</v>
      </c>
      <c r="E10" s="68" t="s">
        <v>8</v>
      </c>
      <c r="F10" s="68">
        <v>8756</v>
      </c>
      <c r="G10" s="68">
        <v>0.87560000000000004</v>
      </c>
      <c r="H10" s="68" t="s">
        <v>68</v>
      </c>
    </row>
    <row r="11" spans="1:8">
      <c r="A11">
        <v>64</v>
      </c>
      <c r="B11" s="68">
        <v>8</v>
      </c>
      <c r="C11" s="68" t="s">
        <v>59</v>
      </c>
      <c r="D11" s="68">
        <v>9</v>
      </c>
      <c r="E11" s="68" t="s">
        <v>60</v>
      </c>
      <c r="F11" s="68">
        <v>6215</v>
      </c>
      <c r="G11" s="68">
        <v>0.62150000000000005</v>
      </c>
      <c r="H11" s="68" t="s">
        <v>60</v>
      </c>
    </row>
    <row r="12" spans="1:8">
      <c r="A12">
        <v>64</v>
      </c>
      <c r="B12" s="68">
        <v>5</v>
      </c>
      <c r="C12" s="68" t="s">
        <v>29</v>
      </c>
      <c r="D12" s="68">
        <v>12</v>
      </c>
      <c r="E12" s="68" t="s">
        <v>28</v>
      </c>
      <c r="F12" s="68">
        <v>8626</v>
      </c>
      <c r="G12" s="68">
        <v>0.86260000000000003</v>
      </c>
      <c r="H12" s="68" t="s">
        <v>29</v>
      </c>
    </row>
    <row r="13" spans="1:8">
      <c r="A13">
        <v>64</v>
      </c>
      <c r="B13" s="68">
        <v>4</v>
      </c>
      <c r="C13" s="68" t="s">
        <v>20</v>
      </c>
      <c r="D13" s="68">
        <v>13</v>
      </c>
      <c r="E13" s="68" t="s">
        <v>21</v>
      </c>
      <c r="F13" s="68">
        <v>8068</v>
      </c>
      <c r="G13" s="68">
        <v>0.80679999999999996</v>
      </c>
      <c r="H13" s="68" t="s">
        <v>20</v>
      </c>
    </row>
    <row r="14" spans="1:8">
      <c r="A14">
        <v>64</v>
      </c>
      <c r="B14" s="68">
        <v>6</v>
      </c>
      <c r="C14" s="68" t="s">
        <v>34</v>
      </c>
      <c r="D14" s="68">
        <v>11</v>
      </c>
      <c r="E14" s="68" t="s">
        <v>35</v>
      </c>
      <c r="F14" s="68">
        <v>7694</v>
      </c>
      <c r="G14" s="68">
        <v>0.76939999999999997</v>
      </c>
      <c r="H14" s="68" t="s">
        <v>35</v>
      </c>
    </row>
    <row r="15" spans="1:8">
      <c r="A15">
        <v>64</v>
      </c>
      <c r="B15" s="68">
        <v>3</v>
      </c>
      <c r="C15" s="68" t="s">
        <v>41</v>
      </c>
      <c r="D15" s="68">
        <v>14</v>
      </c>
      <c r="E15" s="68" t="s">
        <v>40</v>
      </c>
      <c r="F15" s="68">
        <v>8019</v>
      </c>
      <c r="G15" s="68">
        <v>0.80189999999999995</v>
      </c>
      <c r="H15" s="68" t="s">
        <v>41</v>
      </c>
    </row>
    <row r="16" spans="1:8">
      <c r="A16">
        <v>64</v>
      </c>
      <c r="B16" s="68">
        <v>7</v>
      </c>
      <c r="C16" s="68" t="s">
        <v>38</v>
      </c>
      <c r="D16" s="68">
        <v>10</v>
      </c>
      <c r="E16" s="68" t="s">
        <v>39</v>
      </c>
      <c r="F16" s="68">
        <v>3070</v>
      </c>
      <c r="G16" s="68">
        <v>0.307</v>
      </c>
      <c r="H16" s="68" t="s">
        <v>39</v>
      </c>
    </row>
    <row r="17" spans="1:8">
      <c r="A17">
        <v>64</v>
      </c>
      <c r="B17" s="68">
        <v>2</v>
      </c>
      <c r="C17" s="68" t="s">
        <v>15</v>
      </c>
      <c r="D17" s="68">
        <v>15</v>
      </c>
      <c r="E17" s="68" t="s">
        <v>14</v>
      </c>
      <c r="F17" s="68">
        <v>8087</v>
      </c>
      <c r="G17" s="68">
        <v>0.80869999999999997</v>
      </c>
      <c r="H17" s="68" t="s">
        <v>15</v>
      </c>
    </row>
    <row r="18" spans="1:8">
      <c r="A18">
        <v>64</v>
      </c>
      <c r="B18" s="68">
        <v>1</v>
      </c>
      <c r="C18" s="68" t="s">
        <v>48</v>
      </c>
      <c r="D18" s="68">
        <v>16</v>
      </c>
      <c r="E18" s="68" t="s">
        <v>49</v>
      </c>
      <c r="F18" s="68">
        <v>8007</v>
      </c>
      <c r="G18" s="68">
        <v>0.80069999999999997</v>
      </c>
      <c r="H18" s="68" t="s">
        <v>48</v>
      </c>
    </row>
    <row r="19" spans="1:8">
      <c r="A19">
        <v>64</v>
      </c>
      <c r="B19" s="68">
        <v>8</v>
      </c>
      <c r="C19" s="68" t="s">
        <v>56</v>
      </c>
      <c r="D19" s="68">
        <v>9</v>
      </c>
      <c r="E19" s="68" t="s">
        <v>57</v>
      </c>
      <c r="F19" s="68">
        <v>5332</v>
      </c>
      <c r="G19" s="68">
        <v>0.53320000000000001</v>
      </c>
      <c r="H19" s="68" t="s">
        <v>57</v>
      </c>
    </row>
    <row r="20" spans="1:8">
      <c r="A20">
        <v>64</v>
      </c>
      <c r="B20" s="68">
        <v>5</v>
      </c>
      <c r="C20" s="68" t="s">
        <v>24</v>
      </c>
      <c r="D20" s="68">
        <v>12</v>
      </c>
      <c r="E20" s="68" t="s">
        <v>25</v>
      </c>
      <c r="F20" s="68">
        <v>7108</v>
      </c>
      <c r="G20" s="68">
        <v>0.71079999999999999</v>
      </c>
      <c r="H20" s="68" t="s">
        <v>24</v>
      </c>
    </row>
    <row r="21" spans="1:8">
      <c r="A21">
        <v>64</v>
      </c>
      <c r="B21" s="68">
        <v>4</v>
      </c>
      <c r="C21" s="68" t="s">
        <v>32</v>
      </c>
      <c r="D21" s="68">
        <v>13</v>
      </c>
      <c r="E21" s="68" t="s">
        <v>33</v>
      </c>
      <c r="F21" s="68">
        <v>8054</v>
      </c>
      <c r="G21" s="68">
        <v>0.8054</v>
      </c>
      <c r="H21" s="68" t="s">
        <v>32</v>
      </c>
    </row>
    <row r="22" spans="1:8">
      <c r="A22">
        <v>64</v>
      </c>
      <c r="B22" s="68">
        <v>6</v>
      </c>
      <c r="C22" s="68" t="s">
        <v>37</v>
      </c>
      <c r="D22" s="68">
        <v>11</v>
      </c>
      <c r="E22" s="68" t="s">
        <v>6</v>
      </c>
      <c r="F22" s="68">
        <v>6210</v>
      </c>
      <c r="G22" s="68">
        <v>0.621</v>
      </c>
      <c r="H22" s="68" t="s">
        <v>6</v>
      </c>
    </row>
    <row r="23" spans="1:8">
      <c r="A23">
        <v>64</v>
      </c>
      <c r="B23" s="68">
        <v>3</v>
      </c>
      <c r="C23" s="68" t="s">
        <v>16</v>
      </c>
      <c r="D23" s="68">
        <v>14</v>
      </c>
      <c r="E23" s="68" t="s">
        <v>17</v>
      </c>
      <c r="F23" s="68">
        <v>8035</v>
      </c>
      <c r="G23" s="68">
        <v>0.80349999999999999</v>
      </c>
      <c r="H23" s="68" t="s">
        <v>16</v>
      </c>
    </row>
    <row r="24" spans="1:8">
      <c r="A24">
        <v>64</v>
      </c>
      <c r="B24" s="68">
        <v>7</v>
      </c>
      <c r="C24" s="68" t="s">
        <v>72</v>
      </c>
      <c r="D24" s="68">
        <v>10</v>
      </c>
      <c r="E24" s="68" t="s">
        <v>73</v>
      </c>
      <c r="F24" s="68">
        <v>7688</v>
      </c>
      <c r="G24" s="68">
        <v>0.76880000000000004</v>
      </c>
      <c r="H24" s="68" t="s">
        <v>72</v>
      </c>
    </row>
    <row r="25" spans="1:8">
      <c r="A25">
        <v>64</v>
      </c>
      <c r="B25" s="68">
        <v>2</v>
      </c>
      <c r="C25" s="68" t="s">
        <v>66</v>
      </c>
      <c r="D25" s="68">
        <v>15</v>
      </c>
      <c r="E25" s="68" t="s">
        <v>67</v>
      </c>
      <c r="F25" s="68">
        <v>8439</v>
      </c>
      <c r="G25" s="68">
        <v>0.84389999999999998</v>
      </c>
      <c r="H25" s="68" t="s">
        <v>66</v>
      </c>
    </row>
    <row r="26" spans="1:8">
      <c r="A26">
        <v>64</v>
      </c>
      <c r="B26" s="68">
        <v>1</v>
      </c>
      <c r="C26" s="68" t="s">
        <v>36</v>
      </c>
      <c r="D26" s="68">
        <v>16</v>
      </c>
      <c r="E26" s="68" t="s">
        <v>5</v>
      </c>
      <c r="F26" s="68">
        <v>8066</v>
      </c>
      <c r="G26" s="68">
        <v>0.80659999999999998</v>
      </c>
      <c r="H26" s="68" t="s">
        <v>36</v>
      </c>
    </row>
    <row r="27" spans="1:8">
      <c r="A27">
        <v>64</v>
      </c>
      <c r="B27" s="68">
        <v>8</v>
      </c>
      <c r="C27" s="68" t="s">
        <v>42</v>
      </c>
      <c r="D27" s="68">
        <v>9</v>
      </c>
      <c r="E27" s="68" t="s">
        <v>43</v>
      </c>
      <c r="F27" s="68">
        <v>8026</v>
      </c>
      <c r="G27" s="68">
        <v>0.80259999999999998</v>
      </c>
      <c r="H27" s="68" t="s">
        <v>42</v>
      </c>
    </row>
    <row r="28" spans="1:8">
      <c r="A28">
        <v>64</v>
      </c>
      <c r="B28" s="68">
        <v>5</v>
      </c>
      <c r="C28" s="68" t="s">
        <v>46</v>
      </c>
      <c r="D28" s="68">
        <v>12</v>
      </c>
      <c r="E28" s="68" t="s">
        <v>47</v>
      </c>
      <c r="F28" s="68">
        <v>6905</v>
      </c>
      <c r="G28" s="68">
        <v>0.6905</v>
      </c>
      <c r="H28" s="68" t="s">
        <v>46</v>
      </c>
    </row>
    <row r="29" spans="1:8">
      <c r="A29">
        <v>64</v>
      </c>
      <c r="B29" s="68">
        <v>4</v>
      </c>
      <c r="C29" s="68" t="s">
        <v>54</v>
      </c>
      <c r="D29" s="68">
        <v>13</v>
      </c>
      <c r="E29" s="68" t="s">
        <v>55</v>
      </c>
      <c r="F29" s="68">
        <v>8061</v>
      </c>
      <c r="G29" s="68">
        <v>0.80610000000000004</v>
      </c>
      <c r="H29" s="68" t="s">
        <v>54</v>
      </c>
    </row>
    <row r="30" spans="1:8">
      <c r="A30">
        <v>64</v>
      </c>
      <c r="B30" s="68">
        <v>6</v>
      </c>
      <c r="C30" s="68" t="s">
        <v>58</v>
      </c>
      <c r="D30" s="68">
        <v>11</v>
      </c>
      <c r="E30" s="68" t="s">
        <v>9</v>
      </c>
      <c r="F30" s="68">
        <v>4315</v>
      </c>
      <c r="G30" s="68">
        <v>0.43149999999999999</v>
      </c>
      <c r="H30" s="68" t="s">
        <v>9</v>
      </c>
    </row>
    <row r="31" spans="1:8">
      <c r="A31">
        <v>64</v>
      </c>
      <c r="B31" s="68">
        <v>3</v>
      </c>
      <c r="C31" s="68" t="s">
        <v>50</v>
      </c>
      <c r="D31" s="68">
        <v>14</v>
      </c>
      <c r="E31" s="68" t="s">
        <v>51</v>
      </c>
      <c r="F31" s="68">
        <v>8614</v>
      </c>
      <c r="G31" s="68">
        <v>0.86140000000000005</v>
      </c>
      <c r="H31" s="68" t="s">
        <v>50</v>
      </c>
    </row>
    <row r="32" spans="1:8">
      <c r="A32">
        <v>64</v>
      </c>
      <c r="B32" s="68">
        <v>7</v>
      </c>
      <c r="C32" s="68" t="s">
        <v>44</v>
      </c>
      <c r="D32" s="68">
        <v>10</v>
      </c>
      <c r="E32" s="68" t="s">
        <v>45</v>
      </c>
      <c r="F32" s="68">
        <v>7095</v>
      </c>
      <c r="G32" s="68">
        <v>0.70950000000000002</v>
      </c>
      <c r="H32" s="68" t="s">
        <v>44</v>
      </c>
    </row>
    <row r="33" spans="1:8">
      <c r="A33">
        <v>64</v>
      </c>
      <c r="B33" s="68">
        <v>2</v>
      </c>
      <c r="C33" s="68" t="s">
        <v>52</v>
      </c>
      <c r="D33" s="68">
        <v>15</v>
      </c>
      <c r="E33" s="68" t="s">
        <v>53</v>
      </c>
      <c r="F33" s="68">
        <v>8022</v>
      </c>
      <c r="G33" s="68">
        <v>0.80220000000000002</v>
      </c>
      <c r="H33" s="68" t="s">
        <v>52</v>
      </c>
    </row>
    <row r="34" spans="1:8">
      <c r="A34">
        <v>32</v>
      </c>
      <c r="B34" s="68">
        <v>3</v>
      </c>
      <c r="C34" s="68" t="s">
        <v>30</v>
      </c>
      <c r="D34" s="68">
        <v>11</v>
      </c>
      <c r="E34" s="68" t="s">
        <v>23</v>
      </c>
      <c r="F34" s="68">
        <v>1424</v>
      </c>
      <c r="G34" s="68">
        <v>0.36880000000000002</v>
      </c>
      <c r="H34" s="68" t="s">
        <v>23</v>
      </c>
    </row>
    <row r="35" spans="1:8">
      <c r="A35">
        <v>32</v>
      </c>
      <c r="B35" s="68">
        <v>2</v>
      </c>
      <c r="C35" s="68" t="s">
        <v>74</v>
      </c>
      <c r="D35" s="68">
        <v>7</v>
      </c>
      <c r="E35" s="68" t="s">
        <v>64</v>
      </c>
      <c r="F35" s="68">
        <v>1354</v>
      </c>
      <c r="G35" s="68">
        <v>0.19270000000000001</v>
      </c>
      <c r="H35" s="68" t="s">
        <v>64</v>
      </c>
    </row>
    <row r="36" spans="1:8">
      <c r="A36">
        <v>32</v>
      </c>
      <c r="B36" s="68">
        <v>4</v>
      </c>
      <c r="C36" s="68" t="s">
        <v>54</v>
      </c>
      <c r="D36" s="68">
        <v>5</v>
      </c>
      <c r="E36" s="68" t="s">
        <v>46</v>
      </c>
      <c r="F36" s="68">
        <v>4516</v>
      </c>
      <c r="G36" s="68">
        <v>0.80889999999999995</v>
      </c>
      <c r="H36" s="68" t="s">
        <v>54</v>
      </c>
    </row>
    <row r="37" spans="1:8">
      <c r="A37">
        <v>32</v>
      </c>
      <c r="B37" s="68">
        <v>4</v>
      </c>
      <c r="C37" s="68" t="s">
        <v>69</v>
      </c>
      <c r="D37" s="68">
        <v>5</v>
      </c>
      <c r="E37" s="68" t="s">
        <v>75</v>
      </c>
      <c r="F37" s="68">
        <v>2381</v>
      </c>
      <c r="G37" s="68">
        <v>0.34820000000000001</v>
      </c>
      <c r="H37" s="68" t="s">
        <v>75</v>
      </c>
    </row>
    <row r="38" spans="1:8">
      <c r="A38">
        <v>32</v>
      </c>
      <c r="B38" s="68">
        <v>4</v>
      </c>
      <c r="C38" s="68" t="s">
        <v>20</v>
      </c>
      <c r="D38" s="68">
        <v>5</v>
      </c>
      <c r="E38" s="68" t="s">
        <v>29</v>
      </c>
      <c r="F38" s="68">
        <v>1877</v>
      </c>
      <c r="G38" s="68">
        <v>0.27039999999999997</v>
      </c>
      <c r="H38" s="68" t="s">
        <v>29</v>
      </c>
    </row>
    <row r="39" spans="1:8">
      <c r="A39">
        <v>32</v>
      </c>
      <c r="B39" s="68">
        <v>2</v>
      </c>
      <c r="C39" s="68" t="s">
        <v>15</v>
      </c>
      <c r="D39" s="68">
        <v>10</v>
      </c>
      <c r="E39" s="68" t="s">
        <v>39</v>
      </c>
      <c r="F39" s="68">
        <v>4697</v>
      </c>
      <c r="G39" s="68">
        <v>0.83919999999999995</v>
      </c>
      <c r="H39" s="68" t="s">
        <v>15</v>
      </c>
    </row>
    <row r="40" spans="1:8">
      <c r="A40">
        <v>32</v>
      </c>
      <c r="B40" s="68">
        <v>4</v>
      </c>
      <c r="C40" s="68" t="s">
        <v>32</v>
      </c>
      <c r="D40" s="68">
        <v>5</v>
      </c>
      <c r="E40" s="68" t="s">
        <v>24</v>
      </c>
      <c r="F40" s="68">
        <v>3684</v>
      </c>
      <c r="G40" s="68">
        <v>0.64359999999999995</v>
      </c>
      <c r="H40" s="68" t="s">
        <v>32</v>
      </c>
    </row>
    <row r="41" spans="1:8">
      <c r="A41">
        <v>32</v>
      </c>
      <c r="B41" s="68">
        <v>3</v>
      </c>
      <c r="C41" s="68" t="s">
        <v>50</v>
      </c>
      <c r="D41" s="68">
        <v>11</v>
      </c>
      <c r="E41" s="68" t="s">
        <v>9</v>
      </c>
      <c r="F41" s="68">
        <v>3349</v>
      </c>
      <c r="G41" s="68">
        <v>0.6825</v>
      </c>
      <c r="H41" s="68" t="s">
        <v>50</v>
      </c>
    </row>
    <row r="42" spans="1:8">
      <c r="A42">
        <v>32</v>
      </c>
      <c r="B42" s="68">
        <v>2</v>
      </c>
      <c r="C42" s="68" t="s">
        <v>52</v>
      </c>
      <c r="D42" s="68">
        <v>7</v>
      </c>
      <c r="E42" s="68" t="s">
        <v>44</v>
      </c>
      <c r="F42" s="68">
        <v>3957</v>
      </c>
      <c r="G42" s="68">
        <v>0.69359999999999999</v>
      </c>
      <c r="H42" s="68" t="s">
        <v>52</v>
      </c>
    </row>
    <row r="43" spans="1:8">
      <c r="A43">
        <v>32</v>
      </c>
      <c r="B43" s="68">
        <v>1</v>
      </c>
      <c r="C43" s="68" t="s">
        <v>48</v>
      </c>
      <c r="D43" s="68">
        <v>9</v>
      </c>
      <c r="E43" s="68" t="s">
        <v>57</v>
      </c>
      <c r="F43" s="68">
        <v>3067</v>
      </c>
      <c r="G43" s="68">
        <v>0.8236</v>
      </c>
      <c r="H43" s="68" t="s">
        <v>48</v>
      </c>
    </row>
    <row r="44" spans="1:8">
      <c r="A44">
        <v>32</v>
      </c>
      <c r="B44" s="68">
        <v>3</v>
      </c>
      <c r="C44" s="68" t="s">
        <v>16</v>
      </c>
      <c r="D44" s="68">
        <v>11</v>
      </c>
      <c r="E44" s="68" t="s">
        <v>6</v>
      </c>
      <c r="F44" s="68">
        <v>2484</v>
      </c>
      <c r="G44" s="68">
        <v>0.80989999999999995</v>
      </c>
      <c r="H44" s="68" t="s">
        <v>16</v>
      </c>
    </row>
    <row r="45" spans="1:8">
      <c r="A45">
        <v>32</v>
      </c>
      <c r="B45" s="68">
        <v>2</v>
      </c>
      <c r="C45" s="68" t="s">
        <v>66</v>
      </c>
      <c r="D45" s="68">
        <v>7</v>
      </c>
      <c r="E45" s="68" t="s">
        <v>72</v>
      </c>
      <c r="F45" s="68">
        <v>5219</v>
      </c>
      <c r="G45" s="68">
        <v>0.80640000000000001</v>
      </c>
      <c r="H45" s="68" t="s">
        <v>66</v>
      </c>
    </row>
    <row r="46" spans="1:8">
      <c r="A46">
        <v>32</v>
      </c>
      <c r="B46" s="68">
        <v>1</v>
      </c>
      <c r="C46" s="68" t="s">
        <v>36</v>
      </c>
      <c r="D46" s="68">
        <v>8</v>
      </c>
      <c r="E46" s="68" t="s">
        <v>42</v>
      </c>
      <c r="F46" s="68">
        <v>2166</v>
      </c>
      <c r="G46" s="68">
        <v>0.33410000000000001</v>
      </c>
      <c r="H46" s="68" t="s">
        <v>42</v>
      </c>
    </row>
    <row r="47" spans="1:8">
      <c r="A47">
        <v>32</v>
      </c>
      <c r="B47" s="68">
        <v>1</v>
      </c>
      <c r="C47" s="68" t="s">
        <v>26</v>
      </c>
      <c r="D47" s="68">
        <v>9</v>
      </c>
      <c r="E47" s="68" t="s">
        <v>19</v>
      </c>
      <c r="F47" s="68">
        <v>3275</v>
      </c>
      <c r="G47" s="68">
        <v>0.88680000000000003</v>
      </c>
      <c r="H47" s="68" t="s">
        <v>26</v>
      </c>
    </row>
    <row r="48" spans="1:8">
      <c r="A48">
        <v>32</v>
      </c>
      <c r="B48" s="68">
        <v>1</v>
      </c>
      <c r="C48" s="68" t="s">
        <v>68</v>
      </c>
      <c r="D48" s="68">
        <v>9</v>
      </c>
      <c r="E48" s="68" t="s">
        <v>60</v>
      </c>
      <c r="F48" s="68">
        <v>2230</v>
      </c>
      <c r="G48" s="68">
        <v>0.67310000000000003</v>
      </c>
      <c r="H48" s="68" t="s">
        <v>68</v>
      </c>
    </row>
    <row r="49" spans="1:8">
      <c r="A49">
        <v>32</v>
      </c>
      <c r="B49" s="68">
        <v>3</v>
      </c>
      <c r="C49" s="68" t="s">
        <v>41</v>
      </c>
      <c r="D49" s="68">
        <v>11</v>
      </c>
      <c r="E49" s="68" t="s">
        <v>35</v>
      </c>
      <c r="F49" s="68">
        <v>1497</v>
      </c>
      <c r="G49" s="68">
        <v>0.81089999999999995</v>
      </c>
      <c r="H49" s="68" t="s">
        <v>41</v>
      </c>
    </row>
    <row r="50" spans="1:8">
      <c r="A50">
        <v>16</v>
      </c>
      <c r="B50" s="68">
        <v>2</v>
      </c>
      <c r="C50" s="68" t="s">
        <v>52</v>
      </c>
      <c r="D50" s="68">
        <v>3</v>
      </c>
      <c r="E50" s="68" t="s">
        <v>50</v>
      </c>
      <c r="F50" s="68">
        <v>2031</v>
      </c>
      <c r="G50" s="68">
        <v>0.63990000000000002</v>
      </c>
      <c r="H50" s="68" t="s">
        <v>52</v>
      </c>
    </row>
    <row r="51" spans="1:8">
      <c r="A51">
        <v>16</v>
      </c>
      <c r="B51" s="68">
        <v>7</v>
      </c>
      <c r="C51" s="68" t="s">
        <v>64</v>
      </c>
      <c r="D51" s="68">
        <v>11</v>
      </c>
      <c r="E51" s="68" t="s">
        <v>23</v>
      </c>
      <c r="F51" s="68">
        <v>1986</v>
      </c>
      <c r="G51" s="68">
        <v>0.77849999999999997</v>
      </c>
      <c r="H51" s="68" t="s">
        <v>64</v>
      </c>
    </row>
    <row r="52" spans="1:8">
      <c r="A52">
        <v>16</v>
      </c>
      <c r="B52" s="68">
        <v>1</v>
      </c>
      <c r="C52" s="68" t="s">
        <v>68</v>
      </c>
      <c r="D52" s="68">
        <v>5</v>
      </c>
      <c r="E52" s="68" t="s">
        <v>29</v>
      </c>
      <c r="F52" s="68">
        <v>850</v>
      </c>
      <c r="G52" s="68">
        <v>0.2641</v>
      </c>
      <c r="H52" s="68" t="s">
        <v>29</v>
      </c>
    </row>
    <row r="53" spans="1:8">
      <c r="A53">
        <v>16</v>
      </c>
      <c r="B53" s="68">
        <v>2</v>
      </c>
      <c r="C53" s="68" t="s">
        <v>15</v>
      </c>
      <c r="D53" s="68">
        <v>3</v>
      </c>
      <c r="E53" s="68" t="s">
        <v>41</v>
      </c>
      <c r="F53" s="68">
        <v>2270</v>
      </c>
      <c r="G53" s="68">
        <v>0.50980000000000003</v>
      </c>
      <c r="H53" s="68" t="s">
        <v>15</v>
      </c>
    </row>
    <row r="54" spans="1:8">
      <c r="A54">
        <v>16</v>
      </c>
      <c r="B54" s="68">
        <v>1</v>
      </c>
      <c r="C54" s="68" t="s">
        <v>48</v>
      </c>
      <c r="D54" s="68">
        <v>4</v>
      </c>
      <c r="E54" s="68" t="s">
        <v>32</v>
      </c>
      <c r="F54" s="68">
        <v>664</v>
      </c>
      <c r="G54" s="68">
        <v>0.18990000000000001</v>
      </c>
      <c r="H54" s="68" t="s">
        <v>32</v>
      </c>
    </row>
    <row r="55" spans="1:8">
      <c r="A55">
        <v>16</v>
      </c>
      <c r="B55" s="68">
        <v>2</v>
      </c>
      <c r="C55" s="68" t="s">
        <v>66</v>
      </c>
      <c r="D55" s="68">
        <v>3</v>
      </c>
      <c r="E55" s="68" t="s">
        <v>16</v>
      </c>
      <c r="F55" s="68">
        <v>2702</v>
      </c>
      <c r="G55" s="68">
        <v>0.63229999999999997</v>
      </c>
      <c r="H55" s="68" t="s">
        <v>66</v>
      </c>
    </row>
    <row r="56" spans="1:8">
      <c r="A56">
        <v>16</v>
      </c>
      <c r="B56" s="68">
        <v>4</v>
      </c>
      <c r="C56" s="68" t="s">
        <v>54</v>
      </c>
      <c r="D56" s="68">
        <v>8</v>
      </c>
      <c r="E56" s="68" t="s">
        <v>42</v>
      </c>
      <c r="F56" s="68">
        <v>2859</v>
      </c>
      <c r="G56" s="68">
        <v>0.7792</v>
      </c>
      <c r="H56" s="68" t="s">
        <v>54</v>
      </c>
    </row>
    <row r="57" spans="1:8">
      <c r="A57">
        <v>16</v>
      </c>
      <c r="B57" s="68">
        <v>1</v>
      </c>
      <c r="C57" s="68" t="s">
        <v>26</v>
      </c>
      <c r="D57" s="68">
        <v>5</v>
      </c>
      <c r="E57" s="68" t="s">
        <v>75</v>
      </c>
      <c r="F57" s="68">
        <v>2458</v>
      </c>
      <c r="G57" s="68">
        <v>0.57020000000000004</v>
      </c>
      <c r="H57" s="68" t="s">
        <v>26</v>
      </c>
    </row>
    <row r="58" spans="1:8">
      <c r="A58">
        <v>8</v>
      </c>
      <c r="B58" s="68">
        <v>2</v>
      </c>
      <c r="C58" s="68" t="s">
        <v>15</v>
      </c>
      <c r="D58" s="68">
        <v>5</v>
      </c>
      <c r="E58" s="68" t="s">
        <v>29</v>
      </c>
      <c r="F58" s="68">
        <v>1329</v>
      </c>
      <c r="G58" s="68">
        <v>0.66779999999999995</v>
      </c>
      <c r="H58" s="68" t="s">
        <v>15</v>
      </c>
    </row>
    <row r="59" spans="1:8">
      <c r="A59">
        <v>8</v>
      </c>
      <c r="B59" s="68">
        <v>1</v>
      </c>
      <c r="C59" s="68" t="s">
        <v>26</v>
      </c>
      <c r="D59" s="68">
        <v>7</v>
      </c>
      <c r="E59" s="68" t="s">
        <v>64</v>
      </c>
      <c r="F59" s="68">
        <v>1161</v>
      </c>
      <c r="G59" s="68">
        <v>0.44969999999999999</v>
      </c>
      <c r="H59" s="68" t="s">
        <v>64</v>
      </c>
    </row>
    <row r="60" spans="1:8">
      <c r="A60">
        <v>8</v>
      </c>
      <c r="B60" s="68">
        <v>2</v>
      </c>
      <c r="C60" s="68" t="s">
        <v>52</v>
      </c>
      <c r="D60" s="68">
        <v>4</v>
      </c>
      <c r="E60" s="68" t="s">
        <v>54</v>
      </c>
      <c r="F60" s="68">
        <v>398</v>
      </c>
      <c r="G60" s="68">
        <v>0.19320000000000001</v>
      </c>
      <c r="H60" s="68" t="s">
        <v>54</v>
      </c>
    </row>
    <row r="61" spans="1:8">
      <c r="A61">
        <v>8</v>
      </c>
      <c r="B61" s="68">
        <v>2</v>
      </c>
      <c r="C61" s="68" t="s">
        <v>66</v>
      </c>
      <c r="D61" s="68">
        <v>4</v>
      </c>
      <c r="E61" s="68" t="s">
        <v>32</v>
      </c>
      <c r="F61" s="68">
        <v>978</v>
      </c>
      <c r="G61" s="68">
        <v>0.45129999999999998</v>
      </c>
      <c r="H61" s="68" t="s">
        <v>32</v>
      </c>
    </row>
    <row r="62" spans="1:8">
      <c r="A62">
        <v>4</v>
      </c>
      <c r="B62" s="68">
        <v>4</v>
      </c>
      <c r="C62" s="68" t="s">
        <v>54</v>
      </c>
      <c r="D62" s="68">
        <v>4</v>
      </c>
      <c r="E62" s="68" t="s">
        <v>32</v>
      </c>
      <c r="F62" s="68">
        <v>539</v>
      </c>
      <c r="G62" s="68">
        <v>0.41909999999999997</v>
      </c>
      <c r="H62" s="68" t="s">
        <v>32</v>
      </c>
    </row>
    <row r="63" spans="1:8">
      <c r="A63">
        <v>4</v>
      </c>
      <c r="B63" s="68">
        <v>2</v>
      </c>
      <c r="C63" s="68" t="s">
        <v>15</v>
      </c>
      <c r="D63" s="68">
        <v>7</v>
      </c>
      <c r="E63" s="68" t="s">
        <v>64</v>
      </c>
      <c r="F63" s="68">
        <v>714</v>
      </c>
      <c r="G63" s="68">
        <v>0.74219999999999997</v>
      </c>
      <c r="H63" s="68" t="s">
        <v>15</v>
      </c>
    </row>
    <row r="64" spans="1:8">
      <c r="A64">
        <v>2</v>
      </c>
      <c r="B64" s="68">
        <v>2</v>
      </c>
      <c r="C64" s="68" t="s">
        <v>15</v>
      </c>
      <c r="D64" s="68">
        <v>4</v>
      </c>
      <c r="E64" s="68" t="s">
        <v>32</v>
      </c>
      <c r="F64" s="68">
        <v>267</v>
      </c>
      <c r="G64" s="68">
        <v>0.50660000000000005</v>
      </c>
      <c r="H64" s="6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prediction_results</vt:lpstr>
      <vt:lpstr>2025</vt:lpstr>
      <vt:lpstr>2026 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LaFronz</dc:creator>
  <cp:lastModifiedBy>Joshua LaFronz</cp:lastModifiedBy>
  <dcterms:created xsi:type="dcterms:W3CDTF">2026-03-18T22:47:00Z</dcterms:created>
  <dcterms:modified xsi:type="dcterms:W3CDTF">2026-06-24T07:41:13Z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2026-04-19T18:52:35Z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6bd30498-3121-4199-8aed-1a646f7ebbf3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50, 3, 0, 1</vt:lpwstr>
  </property>
</Properties>
</file>